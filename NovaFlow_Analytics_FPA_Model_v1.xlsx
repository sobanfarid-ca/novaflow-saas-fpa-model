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cenario Manager" sheetId="4" state="visible" r:id="rId4"/>
    <sheet xmlns:r="http://schemas.openxmlformats.org/officeDocument/2006/relationships" name="Revenue Model" sheetId="5" state="visible" r:id="rId5"/>
    <sheet xmlns:r="http://schemas.openxmlformats.org/officeDocument/2006/relationships" name="Headcount" sheetId="6" state="visible" r:id="rId6"/>
    <sheet xmlns:r="http://schemas.openxmlformats.org/officeDocument/2006/relationships" name="Operating Expenses" sheetId="7" state="visible" r:id="rId7"/>
    <sheet xmlns:r="http://schemas.openxmlformats.org/officeDocument/2006/relationships" name="Income Statement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KPI Dashboard" sheetId="10" state="visible" r:id="rId10"/>
  </sheets>
  <definedNames>
    <definedName name="A_Benefits">Assumptions!$C$27</definedName>
    <definedName name="A_Bonus">Assumptions!$C$26</definedName>
    <definedName name="A_Capex">Assumptions!$C$32</definedName>
    <definedName name="A_Cash0">Assumptions!$C$35</definedName>
    <definedName name="A_CSCogs">Assumptions!$C$17</definedName>
    <definedName name="A_DeptHires">Assumptions!$E$40:$G$45</definedName>
    <definedName name="A_DeptNames">Assumptions!$A$40:$A$45</definedName>
    <definedName name="A_DeptSal">Assumptions!$D$40:$D$45</definedName>
    <definedName name="A_DeptStart">Assumptions!$C$40:$C$45</definedName>
    <definedName name="A_DR0">Assumptions!$C$36</definedName>
    <definedName name="A_EntARPU0">Assumptions!$C$12</definedName>
    <definedName name="A_EntCust0">Assumptions!$C$10</definedName>
    <definedName name="A_HireYears">Assumptions!$E$39:$G$39</definedName>
    <definedName name="A_HostPct">Assumptions!$C$16</definedName>
    <definedName name="A_Life">Assumptions!$C$33</definedName>
    <definedName name="A_Load">Assumptions!$C$29</definedName>
    <definedName name="A_MktgG">Assumptions!$C$23</definedName>
    <definedName name="A_MMARPU0">Assumptions!$C$13</definedName>
    <definedName name="A_MMCust0">Assumptions!$C$11</definedName>
    <definedName name="A_ProfFees">Assumptions!$C$21</definedName>
    <definedName name="A_ProfG">Assumptions!$C$22</definedName>
    <definedName name="A_PTax">Assumptions!$C$28</definedName>
    <definedName name="A_RentHead">Assumptions!$C$19</definedName>
    <definedName name="A_SoftHead">Assumptions!$C$18</definedName>
    <definedName name="A_TaxRate">Assumptions!$C$34</definedName>
    <definedName name="A_TravelPct">Assumptions!$C$20</definedName>
    <definedName name="L_ChurnEnt">'Scenario Manager'!$F$12</definedName>
    <definedName name="L_ChurnMM">'Scenario Manager'!$F$13</definedName>
    <definedName name="L_ExpEnt">'Scenario Manager'!$F$14</definedName>
    <definedName name="L_ExpMM">'Scenario Manager'!$F$15</definedName>
    <definedName name="L_HirePace">'Scenario Manager'!$F$17</definedName>
    <definedName name="L_Mktg">'Scenario Manager'!$F$18</definedName>
    <definedName name="L_NewEnt">'Scenario Manager'!$F$10</definedName>
    <definedName name="L_NewMM">'Scenario Manager'!$F$11</definedName>
    <definedName name="L_Price">'Scenario Manager'!$F$16</definedName>
    <definedName name="L_SalInfl">'Scenario Manager'!$F$19</definedName>
    <definedName name="ModelStart">Assumptions!$C$6</definedName>
    <definedName name="ScenarioList">'Scenario Manager'!$C$9:$E$9</definedName>
    <definedName name="ScenarioSel">'Scenario Manager'!$C$6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4">
    <numFmt numFmtId="164" formatCode="#,##0;\(#,##0\);\-"/>
    <numFmt numFmtId="165" formatCode="dd\ mmm\ yyyy"/>
    <numFmt numFmtId="166" formatCode="\$#,##0;&quot;($&quot;#,##0\);\-"/>
    <numFmt numFmtId="167" formatCode="0.0%;\(0.0%\);\-"/>
    <numFmt numFmtId="168" formatCode="0.00\x"/>
    <numFmt numFmtId="169" formatCode="#,##0.0;\(#,##0.0\);\-"/>
    <numFmt numFmtId="170" formatCode="0.000"/>
    <numFmt numFmtId="171" formatCode="0.0"/>
    <numFmt numFmtId="172" formatCode="\$#,##0"/>
    <numFmt numFmtId="173" formatCode="0.0\x;\(0.0&quot;x)&quot;;\-"/>
    <numFmt numFmtId="174" formatCode="\$#,##0.0,,\m"/>
    <numFmt numFmtId="175" formatCode="0.0&quot; mo&quot;"/>
    <numFmt numFmtId="176" formatCode="\$#,##0.0,,\m;&quot;($&quot;#,##0.0,,&quot;m)&quot;"/>
    <numFmt numFmtId="177" formatCode="\$#,##0,\k"/>
  </numFmts>
  <fonts count="34">
    <font>
      <name val="Calibri"/>
      <charset val="1"/>
      <family val="2"/>
      <color theme="1"/>
      <sz val="11"/>
    </font>
    <font>
      <name val="Aptos Display"/>
      <charset val="1"/>
      <b val="1"/>
      <color rgb="FF203040"/>
      <sz val="30"/>
    </font>
    <font>
      <name val="Aptos Display"/>
      <charset val="1"/>
      <color rgb="FF6F8FAF"/>
      <sz val="13"/>
    </font>
    <font>
      <name val="Aptos"/>
      <charset val="1"/>
      <i val="1"/>
      <color rgb="FF8A94A0"/>
      <sz val="10"/>
    </font>
    <font>
      <name val="Bahnschrift SemiBold"/>
      <charset val="1"/>
      <color rgb="FF203040"/>
      <sz val="13"/>
    </font>
    <font>
      <name val="Aptos"/>
      <charset val="1"/>
      <color rgb="FF24303C"/>
      <sz val="10"/>
    </font>
    <font>
      <name val="Aptos"/>
      <charset val="1"/>
      <b val="1"/>
      <color rgb="FFC49A6C"/>
      <sz val="10"/>
    </font>
    <font>
      <name val="Aptos"/>
      <charset val="1"/>
      <color rgb="FF8A94A0"/>
      <sz val="9"/>
    </font>
    <font>
      <name val="Aptos Narrow"/>
      <charset val="1"/>
      <b val="1"/>
      <color rgb="FF2E7D4F"/>
      <sz val="10"/>
    </font>
    <font>
      <name val="Aptos"/>
      <charset val="1"/>
      <i val="1"/>
      <color rgb="FF8A94A0"/>
      <sz val="9"/>
    </font>
    <font>
      <name val="Aptos Display"/>
      <charset val="1"/>
      <b val="1"/>
      <color rgb="FFC49A6C"/>
      <sz val="9"/>
    </font>
    <font>
      <name val="Aptos"/>
      <charset val="1"/>
      <color rgb="FFB9C4CF"/>
      <sz val="8"/>
    </font>
    <font>
      <name val="Aptos Display"/>
      <charset val="1"/>
      <b val="1"/>
      <color rgb="FFFFFFFF"/>
      <sz val="15"/>
    </font>
    <font>
      <name val="Aptos"/>
      <charset val="1"/>
      <i val="1"/>
      <color rgb="FFB9C4CF"/>
      <sz val="9"/>
    </font>
    <font>
      <name val="Aptos Narrow"/>
      <charset val="1"/>
      <color rgb="FF2050C8"/>
      <sz val="10"/>
    </font>
    <font>
      <name val="Aptos Narrow"/>
      <charset val="1"/>
      <color rgb="FF141414"/>
      <sz val="10"/>
    </font>
    <font>
      <name val="Aptos Narrow"/>
      <charset val="1"/>
      <color rgb="FF2E7D4F"/>
      <sz val="10"/>
    </font>
    <font>
      <name val="Aptos"/>
      <charset val="1"/>
      <b val="1"/>
      <color rgb="FF24303C"/>
      <sz val="10"/>
    </font>
    <font>
      <name val="Aptos Narrow"/>
      <charset val="1"/>
      <b val="1"/>
      <color rgb="FF24303C"/>
      <sz val="10"/>
    </font>
    <font>
      <name val="Aptos Display"/>
      <charset val="1"/>
      <b val="1"/>
      <color rgb="FF203040"/>
      <sz val="10"/>
    </font>
    <font>
      <name val="Aptos Narrow"/>
      <charset val="1"/>
      <b val="1"/>
      <color rgb="FF2050C8"/>
      <sz val="12"/>
    </font>
    <font>
      <name val="Aptos Narrow"/>
      <charset val="1"/>
      <b val="1"/>
      <color rgb="FF141414"/>
      <sz val="10"/>
    </font>
    <font>
      <name val="Aptos"/>
      <charset val="1"/>
      <b val="1"/>
      <color rgb="FF6F8FAF"/>
      <sz val="9"/>
    </font>
    <font>
      <name val="Aptos Narrow"/>
      <charset val="1"/>
      <b val="1"/>
      <color rgb="FF203040"/>
      <sz val="10"/>
    </font>
    <font>
      <name val="Aptos"/>
      <charset val="1"/>
      <b val="1"/>
      <color rgb="FFC49A6C"/>
      <sz val="8.5"/>
    </font>
    <font>
      <name val="Aptos"/>
      <charset val="1"/>
      <b val="1"/>
      <color rgb="FF8A94A0"/>
      <sz val="8"/>
    </font>
    <font>
      <name val="Bahnschrift SemiBold"/>
      <charset val="1"/>
      <color rgb="FFFFFFFF"/>
      <sz val="12"/>
    </font>
    <font>
      <name val="Aptos"/>
      <charset val="1"/>
      <i val="1"/>
      <color rgb="FF6F8FAF"/>
      <sz val="8.5"/>
    </font>
    <font>
      <name val="Aptos Narrow"/>
      <charset val="1"/>
      <b val="1"/>
      <color rgb="FF203040"/>
      <sz val="18"/>
    </font>
    <font>
      <name val="Aptos"/>
      <charset val="1"/>
      <color rgb="FF8A94A0"/>
      <sz val="7.5"/>
    </font>
    <font>
      <name val="Aptos"/>
      <b val="1"/>
      <color rgb="008A94A0"/>
      <sz val="8"/>
    </font>
    <font>
      <name val="Aptos"/>
      <b val="1"/>
      <color rgb="00203040"/>
      <sz val="9"/>
    </font>
    <font>
      <name val="Aptos"/>
      <i val="1"/>
      <color rgb="008A94A0"/>
      <sz val="8"/>
    </font>
    <font>
      <name val="Aptos"/>
      <b val="1"/>
      <color rgb="00C49A6C"/>
      <sz val="8"/>
    </font>
  </fonts>
  <fills count="9">
    <fill>
      <patternFill/>
    </fill>
    <fill>
      <patternFill patternType="gray125"/>
    </fill>
    <fill>
      <patternFill patternType="solid">
        <fgColor rgb="FFF7F6F3"/>
        <bgColor rgb="FFFBF5EA"/>
      </patternFill>
    </fill>
    <fill>
      <patternFill patternType="solid">
        <fgColor rgb="FF203040"/>
        <bgColor rgb="FF24303C"/>
      </patternFill>
    </fill>
    <fill>
      <patternFill patternType="solid">
        <fgColor rgb="FFFBF5EA"/>
        <bgColor rgb="FFF7F6F3"/>
      </patternFill>
    </fill>
    <fill>
      <patternFill patternType="solid">
        <fgColor rgb="FFE9EDF2"/>
        <bgColor rgb="FFF1EDE6"/>
      </patternFill>
    </fill>
    <fill>
      <patternFill patternType="solid">
        <fgColor rgb="FFF1EDE6"/>
        <bgColor rgb="FFE9EDF2"/>
      </patternFill>
    </fill>
    <fill>
      <patternFill patternType="solid">
        <fgColor rgb="FFFFFFFF"/>
        <bgColor rgb="FFF7F6F3"/>
      </patternFill>
    </fill>
    <fill>
      <patternFill patternType="solid">
        <fgColor rgb="00F7F6F3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49A6C"/>
      </bottom>
      <diagonal/>
    </border>
    <border>
      <left/>
      <right/>
      <top/>
      <bottom style="thin">
        <color rgb="FF6F8FAF"/>
      </bottom>
      <diagonal/>
    </border>
    <border>
      <left style="thin">
        <color rgb="FFC49A6C"/>
      </left>
      <right style="thin">
        <color rgb="FFC49A6C"/>
      </right>
      <top style="thin">
        <color rgb="FFC49A6C"/>
      </top>
      <bottom style="thin">
        <color rgb="FFC49A6C"/>
      </bottom>
      <diagonal/>
    </border>
    <border>
      <left/>
      <right/>
      <top style="thin">
        <color rgb="FF203040"/>
      </top>
      <bottom/>
      <diagonal/>
    </border>
    <border>
      <left/>
      <right/>
      <top style="medium">
        <color rgb="FFC49A6C"/>
      </top>
      <bottom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2" borderId="1" pivotButton="0" quotePrefix="0" xfId="0"/>
    <xf numFmtId="0" fontId="4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164" fontId="8" fillId="2" borderId="0" pivotButton="0" quotePrefix="0" xfId="0"/>
    <xf numFmtId="165" fontId="8" fillId="2" borderId="0" pivotButton="0" quotePrefix="0" xfId="0"/>
    <xf numFmtId="0" fontId="9" fillId="2" borderId="0" pivotButton="0" quotePrefix="0" xfId="0"/>
    <xf numFmtId="0" fontId="10" fillId="3" borderId="0" pivotButton="0" quotePrefix="0" xfId="0"/>
    <xf numFmtId="0" fontId="0" fillId="3" borderId="0" pivotButton="0" quotePrefix="0" xfId="0"/>
    <xf numFmtId="0" fontId="11" fillId="3" borderId="0" pivotButton="0" quotePrefix="0" xfId="0"/>
    <xf numFmtId="0" fontId="12" fillId="3" borderId="0" pivotButton="0" quotePrefix="0" xfId="0"/>
    <xf numFmtId="0" fontId="13" fillId="3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164" fontId="14" fillId="4" borderId="0" pivotButton="0" quotePrefix="0" xfId="0"/>
    <xf numFmtId="164" fontId="15" fillId="0" borderId="0" pivotButton="0" quotePrefix="0" xfId="0"/>
    <xf numFmtId="0" fontId="16" fillId="0" borderId="0" pivotButton="0" quotePrefix="0" xfId="0"/>
    <xf numFmtId="0" fontId="9" fillId="0" borderId="0" pivotButton="0" quotePrefix="0" xfId="0"/>
    <xf numFmtId="0" fontId="17" fillId="0" borderId="2" pivotButton="0" quotePrefix="0" xfId="0"/>
    <xf numFmtId="0" fontId="0" fillId="0" borderId="2" pivotButton="0" quotePrefix="0" xfId="0"/>
    <xf numFmtId="0" fontId="17" fillId="0" borderId="2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0" fontId="19" fillId="5" borderId="2" pivotButton="0" quotePrefix="0" xfId="0"/>
    <xf numFmtId="0" fontId="0" fillId="5" borderId="2" pivotButton="0" quotePrefix="0" xfId="0"/>
    <xf numFmtId="0" fontId="5" fillId="0" borderId="0" applyAlignment="1" pivotButton="0" quotePrefix="0" xfId="0">
      <alignment indent="1"/>
    </xf>
    <xf numFmtId="0" fontId="7" fillId="0" borderId="0" applyAlignment="1" pivotButton="0" quotePrefix="0" xfId="0">
      <alignment horizontal="center"/>
    </xf>
    <xf numFmtId="17" fontId="14" fillId="4" borderId="0" pivotButton="0" quotePrefix="0" xfId="0"/>
    <xf numFmtId="166" fontId="14" fillId="4" borderId="0" pivotButton="0" quotePrefix="0" xfId="0"/>
    <xf numFmtId="167" fontId="14" fillId="4" borderId="0" pivotButton="0" quotePrefix="0" xfId="0"/>
    <xf numFmtId="168" fontId="15" fillId="0" borderId="0" pivotButton="0" quotePrefix="0" xfId="0"/>
    <xf numFmtId="0" fontId="9" fillId="5" borderId="2" pivotButton="0" quotePrefix="0" xfId="0"/>
    <xf numFmtId="0" fontId="17" fillId="0" borderId="2" applyAlignment="1" pivotButton="0" quotePrefix="0" xfId="0">
      <alignment indent="1"/>
    </xf>
    <xf numFmtId="1" fontId="17" fillId="0" borderId="2" applyAlignment="1" pivotButton="0" quotePrefix="0" xfId="0">
      <alignment horizontal="center"/>
    </xf>
    <xf numFmtId="164" fontId="14" fillId="4" borderId="0" applyAlignment="1" pivotButton="0" quotePrefix="0" xfId="0">
      <alignment horizontal="center"/>
    </xf>
    <xf numFmtId="0" fontId="20" fillId="4" borderId="3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9" fontId="14" fillId="4" borderId="0" applyAlignment="1" pivotButton="0" quotePrefix="0" xfId="0">
      <alignment horizontal="center"/>
    </xf>
    <xf numFmtId="169" fontId="21" fillId="6" borderId="0" applyAlignment="1" pivotButton="0" quotePrefix="0" xfId="0">
      <alignment horizontal="center"/>
    </xf>
    <xf numFmtId="167" fontId="14" fillId="4" borderId="0" applyAlignment="1" pivotButton="0" quotePrefix="0" xfId="0">
      <alignment horizontal="center"/>
    </xf>
    <xf numFmtId="167" fontId="21" fillId="6" borderId="0" applyAlignment="1" pivotButton="0" quotePrefix="0" xfId="0">
      <alignment horizontal="center"/>
    </xf>
    <xf numFmtId="168" fontId="14" fillId="4" borderId="0" applyAlignment="1" pivotButton="0" quotePrefix="0" xfId="0">
      <alignment horizontal="center"/>
    </xf>
    <xf numFmtId="168" fontId="21" fillId="6" borderId="0" applyAlignment="1" pivotButton="0" quotePrefix="0" xfId="0">
      <alignment horizontal="center"/>
    </xf>
    <xf numFmtId="166" fontId="14" fillId="4" borderId="0" applyAlignment="1" pivotButton="0" quotePrefix="0" xfId="0">
      <alignment horizontal="center"/>
    </xf>
    <xf numFmtId="166" fontId="21" fillId="6" borderId="0" applyAlignment="1" pivotButton="0" quotePrefix="0" xfId="0">
      <alignment horizontal="center"/>
    </xf>
    <xf numFmtId="0" fontId="17" fillId="0" borderId="0" applyAlignment="1" pivotButton="0" quotePrefix="0" xfId="0">
      <alignment indent="1"/>
    </xf>
    <xf numFmtId="0" fontId="17" fillId="0" borderId="0" pivotButton="0" quotePrefix="0" xfId="0"/>
    <xf numFmtId="17" fontId="22" fillId="0" borderId="2" applyAlignment="1" pivotButton="0" quotePrefix="0" xfId="0">
      <alignment horizontal="center"/>
    </xf>
    <xf numFmtId="169" fontId="15" fillId="0" borderId="0" pivotButton="0" quotePrefix="0" xfId="0"/>
    <xf numFmtId="169" fontId="23" fillId="0" borderId="0" pivotButton="0" quotePrefix="0" xfId="0"/>
    <xf numFmtId="166" fontId="15" fillId="0" borderId="0" pivotButton="0" quotePrefix="0" xfId="0"/>
    <xf numFmtId="0" fontId="17" fillId="0" borderId="4" applyAlignment="1" pivotButton="0" quotePrefix="0" xfId="0">
      <alignment indent="1"/>
    </xf>
    <xf numFmtId="0" fontId="7" fillId="0" borderId="4" applyAlignment="1" pivotButton="0" quotePrefix="0" xfId="0">
      <alignment horizontal="center"/>
    </xf>
    <xf numFmtId="166" fontId="23" fillId="0" borderId="4" pivotButton="0" quotePrefix="0" xfId="0"/>
    <xf numFmtId="166" fontId="23" fillId="0" borderId="0" pivotButton="0" quotePrefix="0" xfId="0"/>
    <xf numFmtId="0" fontId="5" fillId="0" borderId="0" applyAlignment="1" pivotButton="0" quotePrefix="0" xfId="0">
      <alignment indent="2"/>
    </xf>
    <xf numFmtId="0" fontId="9" fillId="0" borderId="0" applyAlignment="1" pivotButton="0" quotePrefix="0" xfId="0">
      <alignment vertical="top" wrapText="1"/>
    </xf>
    <xf numFmtId="169" fontId="23" fillId="0" borderId="4" pivotButton="0" quotePrefix="0" xfId="0"/>
    <xf numFmtId="170" fontId="15" fillId="0" borderId="0" pivotButton="0" quotePrefix="0" xfId="0"/>
    <xf numFmtId="166" fontId="16" fillId="0" borderId="0" pivotButton="0" quotePrefix="0" xfId="0"/>
    <xf numFmtId="0" fontId="17" fillId="0" borderId="4" pivotButton="0" quotePrefix="0" xfId="0"/>
    <xf numFmtId="0" fontId="24" fillId="0" borderId="2" applyAlignment="1" pivotButton="0" quotePrefix="0" xfId="0">
      <alignment horizontal="center"/>
    </xf>
    <xf numFmtId="167" fontId="15" fillId="0" borderId="0" pivotButton="0" quotePrefix="0" xfId="0"/>
    <xf numFmtId="166" fontId="9" fillId="0" borderId="0" pivotButton="0" quotePrefix="0" xfId="0"/>
    <xf numFmtId="0" fontId="9" fillId="0" borderId="0" applyAlignment="1" pivotButton="0" quotePrefix="0" xfId="0">
      <alignment indent="1"/>
    </xf>
    <xf numFmtId="171" fontId="15" fillId="0" borderId="0" pivotButton="0" quotePrefix="0" xfId="0"/>
    <xf numFmtId="0" fontId="25" fillId="2" borderId="0" pivotButton="0" quotePrefix="0" xfId="0"/>
    <xf numFmtId="0" fontId="27" fillId="2" borderId="0" pivotButton="0" quotePrefix="0" xfId="0"/>
    <xf numFmtId="0" fontId="4" fillId="2" borderId="1" pivotButton="0" quotePrefix="0" xfId="0"/>
    <xf numFmtId="167" fontId="16" fillId="0" borderId="0" pivotButton="0" quotePrefix="0" xfId="0"/>
    <xf numFmtId="172" fontId="15" fillId="0" borderId="0" pivotButton="0" quotePrefix="0" xfId="0"/>
    <xf numFmtId="173" fontId="15" fillId="0" borderId="0" pivotButton="0" quotePrefix="0" xfId="0"/>
    <xf numFmtId="171" fontId="16" fillId="0" borderId="0" pivotButton="0" quotePrefix="0" xfId="0"/>
    <xf numFmtId="169" fontId="16" fillId="0" borderId="0" pivotButton="0" quotePrefix="0" xfId="0"/>
    <xf numFmtId="0" fontId="9" fillId="0" borderId="0" applyAlignment="1" pivotButton="0" quotePrefix="0" xfId="0">
      <alignment indent="2"/>
    </xf>
    <xf numFmtId="174" fontId="15" fillId="0" borderId="0" pivotButton="0" quotePrefix="0" xfId="0"/>
    <xf numFmtId="167" fontId="9" fillId="0" borderId="0" pivotButton="0" quotePrefix="0" xfId="0"/>
    <xf numFmtId="0" fontId="29" fillId="7" borderId="0" pivotButton="0" quotePrefix="0" xfId="0"/>
    <xf numFmtId="0" fontId="25" fillId="7" borderId="5" pivotButton="0" quotePrefix="0" xfId="0"/>
    <xf numFmtId="167" fontId="28" fillId="7" borderId="0" pivotButton="0" quotePrefix="0" xfId="0"/>
    <xf numFmtId="172" fontId="28" fillId="7" borderId="0" pivotButton="0" quotePrefix="0" xfId="0"/>
    <xf numFmtId="173" fontId="28" fillId="7" borderId="0" pivotButton="0" quotePrefix="0" xfId="0"/>
    <xf numFmtId="175" fontId="28" fillId="7" borderId="0" pivotButton="0" quotePrefix="0" xfId="0"/>
    <xf numFmtId="168" fontId="28" fillId="7" borderId="0" pivotButton="0" quotePrefix="0" xfId="0"/>
    <xf numFmtId="176" fontId="28" fillId="7" borderId="0" pivotButton="0" quotePrefix="0" xfId="0"/>
    <xf numFmtId="174" fontId="28" fillId="7" borderId="0" pivotButton="0" quotePrefix="0" xfId="0"/>
    <xf numFmtId="177" fontId="28" fillId="7" borderId="0" pivotButton="0" quotePrefix="0" xfId="0"/>
    <xf numFmtId="3" fontId="28" fillId="7" borderId="0" pivotButton="0" quotePrefix="0" xfId="0"/>
    <xf numFmtId="0" fontId="26" fillId="3" borderId="0" applyAlignment="1" pivotButton="0" quotePrefix="0" xfId="0">
      <alignment horizontal="center"/>
    </xf>
    <xf numFmtId="0" fontId="25" fillId="8" borderId="0" pivotButton="0" quotePrefix="0" xfId="0"/>
    <xf numFmtId="0" fontId="0" fillId="8" borderId="0" pivotButton="0" quotePrefix="0" xfId="0"/>
    <xf numFmtId="0" fontId="30" fillId="8" borderId="0" applyAlignment="1" pivotButton="0" quotePrefix="0" xfId="0">
      <alignment horizontal="right" vertical="center"/>
    </xf>
    <xf numFmtId="0" fontId="31" fillId="8" borderId="0" applyAlignment="1" pivotButton="0" quotePrefix="0" xfId="0">
      <alignment horizontal="left" vertical="center"/>
    </xf>
    <xf numFmtId="0" fontId="32" fillId="8" borderId="0" pivotButton="0" quotePrefix="0" xfId="0"/>
    <xf numFmtId="0" fontId="33" fillId="2" borderId="0" pivotButton="0" quotePrefix="0" xfId="0"/>
    <xf numFmtId="0" fontId="0" fillId="0" borderId="5" pivotButton="0" quotePrefix="0" xfId="0"/>
    <xf numFmtId="174" fontId="28" fillId="7" borderId="0" pivotButton="0" quotePrefix="0" xfId="0"/>
    <xf numFmtId="176" fontId="28" fillId="7" borderId="0" pivotButton="0" quotePrefix="0" xfId="0"/>
    <xf numFmtId="177" fontId="28" fillId="7" borderId="0" pivotButton="0" quotePrefix="0" xfId="0"/>
    <xf numFmtId="172" fontId="28" fillId="7" borderId="0" pivotButton="0" quotePrefix="0" xfId="0"/>
    <xf numFmtId="173" fontId="28" fillId="7" borderId="0" pivotButton="0" quotePrefix="0" xfId="0"/>
    <xf numFmtId="172" fontId="15" fillId="0" borderId="0" pivotButton="0" quotePrefix="0" xfId="0"/>
    <xf numFmtId="173" fontId="15" fillId="0" borderId="0" pivotButton="0" quotePrefix="0" xfId="0"/>
    <xf numFmtId="174" fontId="15" fillId="0" borderId="0" pivotButton="0" quotePrefix="0" xfId="0"/>
  </cellXfs>
  <cellStyles count="1">
    <cellStyle name="Normal" xfId="0" builtinId="0"/>
  </cellStyles>
  <dxfs count="19">
    <dxf>
      <font>
        <name val="Aptos Narrow"/>
        <charset val="1"/>
        <b val="1"/>
        <color rgb="FFA63A3A"/>
        <sz val="18"/>
      </font>
    </dxf>
    <dxf>
      <font>
        <name val="Aptos Narrow"/>
        <charset val="1"/>
        <b val="1"/>
        <color rgb="FFC97A2B"/>
        <sz val="18"/>
      </font>
    </dxf>
    <dxf>
      <font>
        <name val="Aptos Narrow"/>
        <charset val="1"/>
        <b val="1"/>
        <color rgb="FF4F7C5A"/>
        <sz val="18"/>
      </font>
    </dxf>
    <dxf>
      <font>
        <name val="Aptos Narrow"/>
        <charset val="1"/>
        <b val="1"/>
        <color rgb="FFA63A3A"/>
        <sz val="18"/>
      </font>
    </dxf>
    <dxf>
      <font>
        <name val="Aptos Narrow"/>
        <charset val="1"/>
        <b val="1"/>
        <color rgb="FFC97A2B"/>
        <sz val="18"/>
      </font>
    </dxf>
    <dxf>
      <font>
        <name val="Aptos Narrow"/>
        <charset val="1"/>
        <b val="1"/>
        <color rgb="FF4F7C5A"/>
        <sz val="18"/>
      </font>
    </dxf>
    <dxf>
      <font>
        <name val="Aptos Narrow"/>
        <charset val="1"/>
        <b val="1"/>
        <color rgb="FFA63A3A"/>
        <sz val="18"/>
      </font>
    </dxf>
    <dxf>
      <font>
        <name val="Aptos Narrow"/>
        <charset val="1"/>
        <b val="1"/>
        <color rgb="FFC97A2B"/>
        <sz val="18"/>
      </font>
    </dxf>
    <dxf>
      <font>
        <name val="Aptos Narrow"/>
        <charset val="1"/>
        <b val="1"/>
        <color rgb="FF4F7C5A"/>
        <sz val="18"/>
      </font>
    </dxf>
    <dxf>
      <font>
        <name val="Aptos Narrow"/>
        <charset val="1"/>
        <b val="1"/>
        <color rgb="FF4F7C5A"/>
        <sz val="18"/>
      </font>
    </dxf>
    <dxf>
      <font>
        <name val="Aptos Narrow"/>
        <charset val="1"/>
        <b val="1"/>
        <color rgb="FFC97A2B"/>
        <sz val="18"/>
      </font>
    </dxf>
    <dxf>
      <font>
        <name val="Aptos Narrow"/>
        <charset val="1"/>
        <b val="1"/>
        <color rgb="FFA63A3A"/>
        <sz val="18"/>
      </font>
    </dxf>
    <dxf>
      <font>
        <name val="Aptos Narrow"/>
        <charset val="1"/>
        <b val="1"/>
        <color rgb="FFA63A3A"/>
        <sz val="18"/>
      </font>
    </dxf>
    <dxf>
      <font>
        <name val="Aptos Narrow"/>
        <charset val="1"/>
        <b val="1"/>
        <color rgb="FFC97A2B"/>
        <sz val="18"/>
      </font>
    </dxf>
    <dxf>
      <font>
        <name val="Aptos Narrow"/>
        <charset val="1"/>
        <b val="1"/>
        <color rgb="FF4F7C5A"/>
        <sz val="18"/>
      </font>
    </dxf>
    <dxf>
      <font>
        <b val="1"/>
        <color rgb="FFFFFFFF"/>
      </font>
      <fill>
        <patternFill>
          <bgColor rgb="FFA63A3A"/>
        </patternFill>
      </fill>
    </dxf>
    <dxf>
      <font>
        <b val="1"/>
        <color rgb="FFFFFFFF"/>
      </font>
      <fill>
        <patternFill>
          <bgColor rgb="FF4F7C5A"/>
        </patternFill>
      </fill>
    </dxf>
    <dxf>
      <font>
        <name val="Bahnschrift SemiBold"/>
        <color rgb="00FFFFFF"/>
        <sz val="12"/>
      </font>
      <fill>
        <patternFill patternType="solid">
          <fgColor rgb="002E7D5B"/>
        </patternFill>
      </fill>
    </dxf>
    <dxf>
      <font>
        <name val="Bahnschrift SemiBold"/>
        <color rgb="00FFFFFF"/>
        <sz val="12"/>
      </font>
      <fill>
        <patternFill patternType="solid">
          <fgColor rgb="00B03A2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C4CF"/>
      <rgbColor rgb="FF6F8FAF"/>
      <rgbColor rgb="FF9AA7B5"/>
      <rgbColor rgb="FFA63A3A"/>
      <rgbColor rgb="FFFBF5EA"/>
      <rgbColor rgb="FFE9EDF2"/>
      <rgbColor rgb="FF660066"/>
      <rgbColor rgb="FFC49A6C"/>
      <rgbColor rgb="FF2050C8"/>
      <rgbColor rgb="FFC9CF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5EC"/>
      <rgbColor rgb="FFF1EDE6"/>
      <rgbColor rgb="FFF7F6F3"/>
      <rgbColor rgb="FFD9D9D9"/>
      <rgbColor rgb="FFE3E0DA"/>
      <rgbColor rgb="FFCC99FF"/>
      <rgbColor rgb="FFEDE2D2"/>
      <rgbColor rgb="FF3366FF"/>
      <rgbColor rgb="FF33CCCC"/>
      <rgbColor rgb="FF99CC00"/>
      <rgbColor rgb="FFFFCC00"/>
      <rgbColor rgb="FFFF9900"/>
      <rgbColor rgb="FFC97A2B"/>
      <rgbColor rgb="FF4F7C5A"/>
      <rgbColor rgb="FF8A94A0"/>
      <rgbColor rgb="FF203040"/>
      <rgbColor rgb="FF2E7D4F"/>
      <rgbColor rgb="FF141414"/>
      <rgbColor rgb="FF333300"/>
      <rgbColor rgb="FF993300"/>
      <rgbColor rgb="FF993366"/>
      <rgbColor rgb="FF333399"/>
      <rgbColor rgb="FF2430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ARR trajectory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areaChart>
        <grouping val="standard"/>
        <varyColors val="1"/>
        <ser>
          <idx val="0"/>
          <order val="0"/>
          <spPr>
            <a:solidFill xmlns:a="http://schemas.openxmlformats.org/drawingml/2006/main">
              <a:srgbClr val="C49A6C"/>
            </a:solidFill>
            <a:ln xmlns:a="http://schemas.openxmlformats.org/drawingml/2006/main" w="28575">
              <a:solidFill>
                <a:srgbClr val="203040"/>
              </a:solidFill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Dashboard'!$C$57:$AL$57</f>
              <numCache>
                <formatCode>\$#,##0;"($"#,##0\);\-</formatCode>
                <ptCount val="36"/>
                <pt idx="0">
                  <v>4296912</v>
                </pt>
                <pt idx="1">
                  <v>4598660.939885614</v>
                </pt>
                <pt idx="2">
                  <v>4901261.517288774</v>
                </pt>
                <pt idx="3">
                  <v>5204728.436157798</v>
                </pt>
                <pt idx="4">
                  <v>5509076.407381784</v>
                </pt>
                <pt idx="5">
                  <v>5814320.149413547</v>
                </pt>
                <pt idx="6">
                  <v>6120474.388891163</v>
                </pt>
                <pt idx="7">
                  <v>6427553.861258126</v>
                </pt>
                <pt idx="8">
                  <v>6735573.31138216</v>
                </pt>
                <pt idx="9">
                  <v>7044547.494172698</v>
                </pt>
                <pt idx="10">
                  <v>7354491.175197091</v>
                </pt>
                <pt idx="11">
                  <v>7665419.131295535</v>
                </pt>
                <pt idx="12">
                  <v>7977346.151194777</v>
                </pt>
                <pt idx="13">
                  <v>8290287.03612061</v>
                </pt>
                <pt idx="14">
                  <v>8604256.600409206</v>
                </pt>
                <pt idx="15">
                  <v>8919269.672117278</v>
                </pt>
                <pt idx="16">
                  <v>9235341.093631152</v>
                </pt>
                <pt idx="17">
                  <v>9552485.722274736</v>
                </pt>
                <pt idx="18">
                  <v>9870718.43091641</v>
                </pt>
                <pt idx="19">
                  <v>10190054.10857493</v>
                </pt>
                <pt idx="20">
                  <v>10510507.66102427</v>
                </pt>
                <pt idx="21">
                  <v>10832094.01139753</v>
                </pt>
                <pt idx="22">
                  <v>11154828.10078987</v>
                </pt>
                <pt idx="23">
                  <v>11478724.88886053</v>
                </pt>
                <pt idx="24">
                  <v>11803799.35443399</v>
                </pt>
                <pt idx="25">
                  <v>12130066.49610016</v>
                </pt>
                <pt idx="26">
                  <v>12457541.33281387</v>
                </pt>
                <pt idx="27">
                  <v>12786238.90449341</v>
                </pt>
                <pt idx="28">
                  <v>13116174.27261841</v>
                </pt>
                <pt idx="29">
                  <v>13447362.52082687</v>
                </pt>
                <pt idx="30">
                  <v>13779818.7555115</v>
                </pt>
                <pt idx="31">
                  <v>14113558.10641534</v>
                </pt>
                <pt idx="32">
                  <v>14448595.72722672</v>
                </pt>
                <pt idx="33">
                  <v>14784946.79617351</v>
                </pt>
                <pt idx="34">
                  <v>15122626.51661687</v>
                </pt>
                <pt idx="35">
                  <v>15461650.11764424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1"/>
          <order val="1"/>
          <spPr>
            <a:ln xmlns:a="http://schemas.openxmlformats.org/drawingml/2006/main" w="28080">
              <a:solidFill>
                <a:srgbClr val="C49A6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Dashboard'!$C$57:$AL$57</f>
              <numCache>
                <formatCode>\$#,##0;"($"#,##0\);\-</formatCode>
                <ptCount val="36"/>
                <pt idx="0">
                  <v>4296912</v>
                </pt>
                <pt idx="1">
                  <v>4598660.939885614</v>
                </pt>
                <pt idx="2">
                  <v>4901261.517288774</v>
                </pt>
                <pt idx="3">
                  <v>5204728.436157798</v>
                </pt>
                <pt idx="4">
                  <v>5509076.407381784</v>
                </pt>
                <pt idx="5">
                  <v>5814320.149413547</v>
                </pt>
                <pt idx="6">
                  <v>6120474.388891163</v>
                </pt>
                <pt idx="7">
                  <v>6427553.861258126</v>
                </pt>
                <pt idx="8">
                  <v>6735573.31138216</v>
                </pt>
                <pt idx="9">
                  <v>7044547.494172698</v>
                </pt>
                <pt idx="10">
                  <v>7354491.175197091</v>
                </pt>
                <pt idx="11">
                  <v>7665419.131295535</v>
                </pt>
                <pt idx="12">
                  <v>7977346.151194777</v>
                </pt>
                <pt idx="13">
                  <v>8290287.03612061</v>
                </pt>
                <pt idx="14">
                  <v>8604256.600409206</v>
                </pt>
                <pt idx="15">
                  <v>8919269.672117278</v>
                </pt>
                <pt idx="16">
                  <v>9235341.093631152</v>
                </pt>
                <pt idx="17">
                  <v>9552485.722274736</v>
                </pt>
                <pt idx="18">
                  <v>9870718.43091641</v>
                </pt>
                <pt idx="19">
                  <v>10190054.10857493</v>
                </pt>
                <pt idx="20">
                  <v>10510507.66102427</v>
                </pt>
                <pt idx="21">
                  <v>10832094.01139753</v>
                </pt>
                <pt idx="22">
                  <v>11154828.10078987</v>
                </pt>
                <pt idx="23">
                  <v>11478724.88886053</v>
                </pt>
                <pt idx="24">
                  <v>11803799.35443399</v>
                </pt>
                <pt idx="25">
                  <v>12130066.49610016</v>
                </pt>
                <pt idx="26">
                  <v>12457541.33281387</v>
                </pt>
                <pt idx="27">
                  <v>12786238.90449341</v>
                </pt>
                <pt idx="28">
                  <v>13116174.27261841</v>
                </pt>
                <pt idx="29">
                  <v>13447362.52082687</v>
                </pt>
                <pt idx="30">
                  <v>13779818.7555115</v>
                </pt>
                <pt idx="31">
                  <v>14113558.10641534</v>
                </pt>
                <pt idx="32">
                  <v>14448595.72722672</v>
                </pt>
                <pt idx="33">
                  <v>14784946.79617351</v>
                </pt>
                <pt idx="34">
                  <v>15122626.51661687</v>
                </pt>
                <pt idx="35">
                  <v>15461650.11764424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399524"/>
        <axId val="77795195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6EA"/>
              </a:solidFill>
              <a:prstDash val="solid"/>
            </a:ln>
          </spPr>
        </majorGridlines>
        <numFmt formatCode="&quot;$&quot;#,##0.0,,&quot;m&quot;" sourceLinked="0"/>
        <majorTickMark val="none"/>
        <minorTickMark val="none"/>
        <crossAx val="10"/>
      </valAx>
      <dateAx>
        <axId val="88399524"/>
        <scaling>
          <orientation val="minMax"/>
        </scaling>
        <delete val="0"/>
        <axPos val="b"/>
        <numFmt formatCode="mmm\-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C9CFD6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77795195"/>
        <crosses val="autoZero"/>
        <lblOffset val="100"/>
        <baseTimeUnit val="months"/>
      </dateAx>
      <valAx>
        <axId val="777951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E3E0DA"/>
              </a:solidFill>
              <a:prstDash val="solid"/>
              <a:round/>
            </a:ln>
          </spPr>
        </majorGridlines>
        <numFmt formatCode="\$#,##0.0,,\m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88399524"/>
        <crosses val="autoZero"/>
        <crossBetween val="midCat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Cash balance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areaChart>
        <grouping val="standard"/>
        <varyColors val="1"/>
        <ser>
          <idx val="0"/>
          <order val="0"/>
          <spPr>
            <a:solidFill xmlns:a="http://schemas.openxmlformats.org/drawingml/2006/main">
              <a:srgbClr val="D8DEE5"/>
            </a:solidFill>
            <a:ln xmlns:a="http://schemas.openxmlformats.org/drawingml/2006/main" w="28575">
              <a:solidFill>
                <a:srgbClr val="203040"/>
              </a:solidFill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Dashboard'!$C$76:$AL$76</f>
              <numCache>
                <formatCode>\$#,##0;"($"#,##0\);\-</formatCode>
                <ptCount val="36"/>
                <pt idx="0">
                  <v>17731206.18772222</v>
                </pt>
                <pt idx="1">
                  <v>17472881.46279898</v>
                </pt>
                <pt idx="2">
                  <v>17225091.99927179</v>
                </pt>
                <pt idx="3">
                  <v>16987905.09144184</v>
                </pt>
                <pt idx="4">
                  <v>16761389.15441336</v>
                </pt>
                <pt idx="5">
                  <v>16545613.72468438</v>
                </pt>
                <pt idx="6">
                  <v>16340649.46078456</v>
                </pt>
                <pt idx="7">
                  <v>16146568.14396016</v>
                </pt>
                <pt idx="8">
                  <v>15963442.67890604</v>
                </pt>
                <pt idx="9">
                  <v>15791347.09454444</v>
                </pt>
                <pt idx="10">
                  <v>15630356.54485063</v>
                </pt>
                <pt idx="11">
                  <v>15480547.30972522</v>
                </pt>
                <pt idx="12">
                  <v>15285161.77286638</v>
                </pt>
                <pt idx="13">
                  <v>15101132.05173527</v>
                </pt>
                <pt idx="14">
                  <v>14928537.80970785</v>
                </pt>
                <pt idx="15">
                  <v>14767459.84003972</v>
                </pt>
                <pt idx="16">
                  <v>14617980.06697052</v>
                </pt>
                <pt idx="17">
                  <v>14480181.54687446</v>
                </pt>
                <pt idx="18">
                  <v>14354148.46945703</v>
                </pt>
                <pt idx="19">
                  <v>14239966.15899759</v>
                </pt>
                <pt idx="20">
                  <v>14137721.07563797</v>
                </pt>
                <pt idx="21">
                  <v>14047500.81671691</v>
                </pt>
                <pt idx="22">
                  <v>13969394.11815026</v>
                </pt>
                <pt idx="23">
                  <v>13903490.85585692</v>
                </pt>
                <pt idx="24">
                  <v>13779553.13284354</v>
                </pt>
                <pt idx="25">
                  <v>13667510.77863887</v>
                </pt>
                <pt idx="26">
                  <v>13567457.0981826</v>
                </pt>
                <pt idx="27">
                  <v>13479486.54257698</v>
                </pt>
                <pt idx="28">
                  <v>13403694.71074032</v>
                </pt>
                <pt idx="29">
                  <v>13340178.35110587</v>
                </pt>
                <pt idx="30">
                  <v>13289035.36336589</v>
                </pt>
                <pt idx="31">
                  <v>13250364.80026109</v>
                </pt>
                <pt idx="32">
                  <v>13224266.86941513</v>
                </pt>
                <pt idx="33">
                  <v>13210842.9352143</v>
                </pt>
                <pt idx="34">
                  <v>13210195.52073227</v>
                </pt>
                <pt idx="35">
                  <v>13222428.30969988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1"/>
          <order val="1"/>
          <spPr>
            <a:ln xmlns:a="http://schemas.openxmlformats.org/drawingml/2006/main" w="28080">
              <a:solidFill>
                <a:srgbClr val="2030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Dashboard'!$C$76:$AL$76</f>
              <numCache>
                <formatCode>\$#,##0;"($"#,##0\);\-</formatCode>
                <ptCount val="36"/>
                <pt idx="0">
                  <v>17731206.18772222</v>
                </pt>
                <pt idx="1">
                  <v>17472881.46279898</v>
                </pt>
                <pt idx="2">
                  <v>17225091.99927179</v>
                </pt>
                <pt idx="3">
                  <v>16987905.09144184</v>
                </pt>
                <pt idx="4">
                  <v>16761389.15441336</v>
                </pt>
                <pt idx="5">
                  <v>16545613.72468438</v>
                </pt>
                <pt idx="6">
                  <v>16340649.46078456</v>
                </pt>
                <pt idx="7">
                  <v>16146568.14396016</v>
                </pt>
                <pt idx="8">
                  <v>15963442.67890604</v>
                </pt>
                <pt idx="9">
                  <v>15791347.09454444</v>
                </pt>
                <pt idx="10">
                  <v>15630356.54485063</v>
                </pt>
                <pt idx="11">
                  <v>15480547.30972522</v>
                </pt>
                <pt idx="12">
                  <v>15285161.77286638</v>
                </pt>
                <pt idx="13">
                  <v>15101132.05173527</v>
                </pt>
                <pt idx="14">
                  <v>14928537.80970785</v>
                </pt>
                <pt idx="15">
                  <v>14767459.84003972</v>
                </pt>
                <pt idx="16">
                  <v>14617980.06697052</v>
                </pt>
                <pt idx="17">
                  <v>14480181.54687446</v>
                </pt>
                <pt idx="18">
                  <v>14354148.46945703</v>
                </pt>
                <pt idx="19">
                  <v>14239966.15899759</v>
                </pt>
                <pt idx="20">
                  <v>14137721.07563797</v>
                </pt>
                <pt idx="21">
                  <v>14047500.81671691</v>
                </pt>
                <pt idx="22">
                  <v>13969394.11815026</v>
                </pt>
                <pt idx="23">
                  <v>13903490.85585692</v>
                </pt>
                <pt idx="24">
                  <v>13779553.13284354</v>
                </pt>
                <pt idx="25">
                  <v>13667510.77863887</v>
                </pt>
                <pt idx="26">
                  <v>13567457.0981826</v>
                </pt>
                <pt idx="27">
                  <v>13479486.54257698</v>
                </pt>
                <pt idx="28">
                  <v>13403694.71074032</v>
                </pt>
                <pt idx="29">
                  <v>13340178.35110587</v>
                </pt>
                <pt idx="30">
                  <v>13289035.36336589</v>
                </pt>
                <pt idx="31">
                  <v>13250364.80026109</v>
                </pt>
                <pt idx="32">
                  <v>13224266.86941513</v>
                </pt>
                <pt idx="33">
                  <v>13210842.9352143</v>
                </pt>
                <pt idx="34">
                  <v>13210195.52073227</v>
                </pt>
                <pt idx="35">
                  <v>13222428.30969988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62458083"/>
        <axId val="91544198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6EA"/>
              </a:solidFill>
              <a:prstDash val="solid"/>
            </a:ln>
          </spPr>
        </majorGridlines>
        <numFmt formatCode="&quot;$&quot;#,##0.0,,&quot;m&quot;" sourceLinked="0"/>
        <majorTickMark val="none"/>
        <minorTickMark val="none"/>
        <crossAx val="10"/>
      </valAx>
      <dateAx>
        <axId val="62458083"/>
        <scaling>
          <orientation val="minMax"/>
        </scaling>
        <delete val="0"/>
        <axPos val="b"/>
        <numFmt formatCode="mmm\-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C9CFD6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91544198"/>
        <crosses val="autoZero"/>
        <lblOffset val="100"/>
        <baseTimeUnit val="months"/>
      </dateAx>
      <valAx>
        <axId val="915441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E3E0DA"/>
              </a:solidFill>
              <a:prstDash val="solid"/>
              <a:round/>
            </a:ln>
          </spPr>
        </majorGridlines>
        <numFmt formatCode="\$#,##0.0,,\m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62458083"/>
        <crosses val="autoZero"/>
        <crossBetween val="midCat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EBITDA margin bridge to breakeven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31750">
              <a:solidFill>
                <a:srgbClr val="20304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Dashboard'!$C$62:$AL$62</f>
              <numCache>
                <formatCode>0.0%;\(0.0%\);\-</formatCode>
                <ptCount val="36"/>
                <pt idx="0">
                  <v>-1.053669646325858</v>
                </pt>
                <pt idx="1">
                  <v>-0.9584812972709392</v>
                </pt>
                <pt idx="2">
                  <v>-0.874705472079919</v>
                </pt>
                <pt idx="3">
                  <v>-0.8003879002580564</v>
                </pt>
                <pt idx="4">
                  <v>-0.7339962278488356</v>
                </pt>
                <pt idx="5">
                  <v>-0.6743119895847367</v>
                </pt>
                <pt idx="6">
                  <v>-0.6203541556082303</v>
                </pt>
                <pt idx="7">
                  <v>-0.5713239861054976</v>
                </pt>
                <pt idx="8">
                  <v>-0.5265645730035774</v>
                </pt>
                <pt idx="9">
                  <v>-0.4855306990925271</v>
                </pt>
                <pt idx="10">
                  <v>-0.4477660701182449</v>
                </pt>
                <pt idx="11">
                  <v>-0.4128858981238976</v>
                </pt>
                <pt idx="12">
                  <v>-0.4660580563812256</v>
                </pt>
                <pt idx="13">
                  <v>-0.4327599025709676</v>
                </pt>
                <pt idx="14">
                  <v>-0.4017273356751396</v>
                </pt>
                <pt idx="15">
                  <v>-0.3727297054039446</v>
                </pt>
                <pt idx="16">
                  <v>-0.3455665908152736</v>
                </pt>
                <pt idx="17">
                  <v>-0.320063006277065</v>
                </pt>
                <pt idx="18">
                  <v>-0.2960654917159951</v>
                </pt>
                <pt idx="19">
                  <v>-0.2734389025313186</v>
                </pt>
                <pt idx="20">
                  <v>-0.2520637573285149</v>
                </pt>
                <pt idx="21">
                  <v>-0.2318340335672172</v>
                </pt>
                <pt idx="22">
                  <v>-0.2126553252882417</v>
                </pt>
                <pt idx="23">
                  <v>-0.1944432953823042</v>
                </pt>
                <pt idx="24">
                  <v>-0.2486202779326431</v>
                </pt>
                <pt idx="25">
                  <v>-0.230685404245543</v>
                </pt>
                <pt idx="26">
                  <v>-0.2135811262126147</v>
                </pt>
                <pt idx="27">
                  <v>-0.1972471695739827</v>
                </pt>
                <pt idx="28">
                  <v>-0.1816289349952811</v>
                </pt>
                <pt idx="29">
                  <v>-0.1666768461801333</v>
                </pt>
                <pt idx="30">
                  <v>-0.152345785821279</v>
                </pt>
                <pt idx="31">
                  <v>-0.1385946058850632</v>
                </pt>
                <pt idx="32">
                  <v>-0.1253857010461055</v>
                </pt>
                <pt idx="33">
                  <v>-0.1126846359713352</v>
                </pt>
                <pt idx="34">
                  <v>-0.1004598186858251</v>
                </pt>
                <pt idx="35">
                  <v>-0.08868221350753577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9525">
              <a:solidFill>
                <a:srgbClr val="8A94A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Dashboard'!$C$95:$AL$95</f>
              <numCache>
                <formatCode>0.0%;\(0.0%\);\-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23687932"/>
        <axId val="32467227"/>
      </lineChart>
      <dateAx>
        <axId val="23687932"/>
        <scaling>
          <orientation val="minMax"/>
        </scaling>
        <delete val="0"/>
        <axPos val="b"/>
        <numFmt formatCode="mmm\-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C9CFD6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32467227"/>
        <crosses val="autoZero"/>
        <lblOffset val="100"/>
        <baseTimeUnit val="months"/>
      </dateAx>
      <valAx>
        <axId val="32467227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6EA"/>
              </a:solidFill>
              <a:prstDash val="solid"/>
            </a:ln>
          </spPr>
        </majorGridlines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2368793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Headcount by department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Engineering</v>
          </tx>
          <spPr>
            <a:solidFill xmlns:a="http://schemas.openxmlformats.org/drawingml/2006/main">
              <a:srgbClr val="20304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Dashboard'!$C$80:$AL$80</f>
              <numCache>
                <formatCode>#,##0.0;\(#,##0.0\);\-</formatCode>
                <ptCount val="36"/>
                <pt idx="0">
                  <v>12.33333333333333</v>
                </pt>
                <pt idx="1">
                  <v>12.66666666666667</v>
                </pt>
                <pt idx="2">
                  <v>13</v>
                </pt>
                <pt idx="3">
                  <v>13.33333333333334</v>
                </pt>
                <pt idx="4">
                  <v>13.66666666666667</v>
                </pt>
                <pt idx="5">
                  <v>14</v>
                </pt>
                <pt idx="6">
                  <v>14.33333333333334</v>
                </pt>
                <pt idx="7">
                  <v>14.66666666666667</v>
                </pt>
                <pt idx="8">
                  <v>15.00000000000001</v>
                </pt>
                <pt idx="9">
                  <v>15.33333333333334</v>
                </pt>
                <pt idx="10">
                  <v>15.66666666666667</v>
                </pt>
                <pt idx="11">
                  <v>16.00000000000001</v>
                </pt>
                <pt idx="12">
                  <v>16.25000000000001</v>
                </pt>
                <pt idx="13">
                  <v>16.50000000000001</v>
                </pt>
                <pt idx="14">
                  <v>16.75000000000001</v>
                </pt>
                <pt idx="15">
                  <v>17.00000000000001</v>
                </pt>
                <pt idx="16">
                  <v>17.25000000000001</v>
                </pt>
                <pt idx="17">
                  <v>17.50000000000001</v>
                </pt>
                <pt idx="18">
                  <v>17.75000000000001</v>
                </pt>
                <pt idx="19">
                  <v>18.00000000000001</v>
                </pt>
                <pt idx="20">
                  <v>18.25000000000001</v>
                </pt>
                <pt idx="21">
                  <v>18.50000000000001</v>
                </pt>
                <pt idx="22">
                  <v>18.75000000000001</v>
                </pt>
                <pt idx="23">
                  <v>19.00000000000001</v>
                </pt>
                <pt idx="24">
                  <v>19.25000000000001</v>
                </pt>
                <pt idx="25">
                  <v>19.50000000000001</v>
                </pt>
                <pt idx="26">
                  <v>19.75000000000001</v>
                </pt>
                <pt idx="27">
                  <v>20.00000000000001</v>
                </pt>
                <pt idx="28">
                  <v>20.25000000000001</v>
                </pt>
                <pt idx="29">
                  <v>20.50000000000001</v>
                </pt>
                <pt idx="30">
                  <v>20.75000000000001</v>
                </pt>
                <pt idx="31">
                  <v>21.00000000000001</v>
                </pt>
                <pt idx="32">
                  <v>21.25000000000001</v>
                </pt>
                <pt idx="33">
                  <v>21.50000000000001</v>
                </pt>
                <pt idx="34">
                  <v>21.75000000000001</v>
                </pt>
                <pt idx="35">
                  <v>22.00000000000001</v>
                </pt>
              </numCache>
            </numRef>
          </val>
        </ser>
        <ser>
          <idx val="1"/>
          <order val="1"/>
          <tx>
            <v>Product</v>
          </tx>
          <spPr>
            <a:solidFill xmlns:a="http://schemas.openxmlformats.org/drawingml/2006/main">
              <a:srgbClr val="4A6D8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Dashboard'!$C$81:$AL$81</f>
              <numCache>
                <formatCode>#,##0.0;\(#,##0.0\);\-</formatCode>
                <ptCount val="36"/>
                <pt idx="0">
                  <v>4.083333333333333</v>
                </pt>
                <pt idx="1">
                  <v>4.166666666666666</v>
                </pt>
                <pt idx="2">
                  <v>4.249999999999999</v>
                </pt>
                <pt idx="3">
                  <v>4.333333333333332</v>
                </pt>
                <pt idx="4">
                  <v>4.416666666666665</v>
                </pt>
                <pt idx="5">
                  <v>4.499999999999998</v>
                </pt>
                <pt idx="6">
                  <v>4.583333333333331</v>
                </pt>
                <pt idx="7">
                  <v>4.666666666666664</v>
                </pt>
                <pt idx="8">
                  <v>4.749999999999997</v>
                </pt>
                <pt idx="9">
                  <v>4.83333333333333</v>
                </pt>
                <pt idx="10">
                  <v>4.916666666666663</v>
                </pt>
                <pt idx="11">
                  <v>4.999999999999996</v>
                </pt>
                <pt idx="12">
                  <v>5.083333333333329</v>
                </pt>
                <pt idx="13">
                  <v>5.166666666666663</v>
                </pt>
                <pt idx="14">
                  <v>5.249999999999996</v>
                </pt>
                <pt idx="15">
                  <v>5.333333333333329</v>
                </pt>
                <pt idx="16">
                  <v>5.416666666666662</v>
                </pt>
                <pt idx="17">
                  <v>5.499999999999995</v>
                </pt>
                <pt idx="18">
                  <v>5.583333333333328</v>
                </pt>
                <pt idx="19">
                  <v>5.666666666666661</v>
                </pt>
                <pt idx="20">
                  <v>5.749999999999994</v>
                </pt>
                <pt idx="21">
                  <v>5.833333333333327</v>
                </pt>
                <pt idx="22">
                  <v>5.91666666666666</v>
                </pt>
                <pt idx="23">
                  <v>5.999999999999993</v>
                </pt>
                <pt idx="24">
                  <v>6.083333333333326</v>
                </pt>
                <pt idx="25">
                  <v>6.166666666666659</v>
                </pt>
                <pt idx="26">
                  <v>6.249999999999992</v>
                </pt>
                <pt idx="27">
                  <v>6.333333333333325</v>
                </pt>
                <pt idx="28">
                  <v>6.416666666666658</v>
                </pt>
                <pt idx="29">
                  <v>6.499999999999991</v>
                </pt>
                <pt idx="30">
                  <v>6.583333333333324</v>
                </pt>
                <pt idx="31">
                  <v>6.666666666666657</v>
                </pt>
                <pt idx="32">
                  <v>6.74999999999999</v>
                </pt>
                <pt idx="33">
                  <v>6.833333333333323</v>
                </pt>
                <pt idx="34">
                  <v>6.916666666666656</v>
                </pt>
                <pt idx="35">
                  <v>6.999999999999989</v>
                </pt>
              </numCache>
            </numRef>
          </val>
        </ser>
        <ser>
          <idx val="2"/>
          <order val="2"/>
          <tx>
            <v>Sales</v>
          </tx>
          <spPr>
            <a:solidFill xmlns:a="http://schemas.openxmlformats.org/drawingml/2006/main">
              <a:srgbClr val="C49A6C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Dashboard'!$C$82:$AL$82</f>
              <numCache>
                <formatCode>#,##0.0;\(#,##0.0\);\-</formatCode>
                <ptCount val="36"/>
                <pt idx="0">
                  <v>8.25</v>
                </pt>
                <pt idx="1">
                  <v>8.5</v>
                </pt>
                <pt idx="2">
                  <v>8.75</v>
                </pt>
                <pt idx="3">
                  <v>9</v>
                </pt>
                <pt idx="4">
                  <v>9.25</v>
                </pt>
                <pt idx="5">
                  <v>9.5</v>
                </pt>
                <pt idx="6">
                  <v>9.75</v>
                </pt>
                <pt idx="7">
                  <v>10</v>
                </pt>
                <pt idx="8">
                  <v>10.25</v>
                </pt>
                <pt idx="9">
                  <v>10.5</v>
                </pt>
                <pt idx="10">
                  <v>10.75</v>
                </pt>
                <pt idx="11">
                  <v>11</v>
                </pt>
                <pt idx="12">
                  <v>11.25</v>
                </pt>
                <pt idx="13">
                  <v>11.5</v>
                </pt>
                <pt idx="14">
                  <v>11.75</v>
                </pt>
                <pt idx="15">
                  <v>12</v>
                </pt>
                <pt idx="16">
                  <v>12.25</v>
                </pt>
                <pt idx="17">
                  <v>12.5</v>
                </pt>
                <pt idx="18">
                  <v>12.75</v>
                </pt>
                <pt idx="19">
                  <v>13</v>
                </pt>
                <pt idx="20">
                  <v>13.25</v>
                </pt>
                <pt idx="21">
                  <v>13.5</v>
                </pt>
                <pt idx="22">
                  <v>13.75</v>
                </pt>
                <pt idx="23">
                  <v>14</v>
                </pt>
                <pt idx="24">
                  <v>14.25</v>
                </pt>
                <pt idx="25">
                  <v>14.5</v>
                </pt>
                <pt idx="26">
                  <v>14.75</v>
                </pt>
                <pt idx="27">
                  <v>15</v>
                </pt>
                <pt idx="28">
                  <v>15.25</v>
                </pt>
                <pt idx="29">
                  <v>15.5</v>
                </pt>
                <pt idx="30">
                  <v>15.75</v>
                </pt>
                <pt idx="31">
                  <v>16</v>
                </pt>
                <pt idx="32">
                  <v>16.25</v>
                </pt>
                <pt idx="33">
                  <v>16.5</v>
                </pt>
                <pt idx="34">
                  <v>16.75</v>
                </pt>
                <pt idx="35">
                  <v>17</v>
                </pt>
              </numCache>
            </numRef>
          </val>
        </ser>
        <ser>
          <idx val="3"/>
          <order val="3"/>
          <tx>
            <v>Marketing</v>
          </tx>
          <spPr>
            <a:solidFill xmlns:a="http://schemas.openxmlformats.org/drawingml/2006/main">
              <a:srgbClr val="8A94A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Dashboard'!$C$83:$AL$83</f>
              <numCache>
                <formatCode>#,##0.0;\(#,##0.0\);\-</formatCode>
                <ptCount val="36"/>
                <pt idx="0">
                  <v>4.083333333333333</v>
                </pt>
                <pt idx="1">
                  <v>4.166666666666666</v>
                </pt>
                <pt idx="2">
                  <v>4.249999999999999</v>
                </pt>
                <pt idx="3">
                  <v>4.333333333333332</v>
                </pt>
                <pt idx="4">
                  <v>4.416666666666665</v>
                </pt>
                <pt idx="5">
                  <v>4.499999999999998</v>
                </pt>
                <pt idx="6">
                  <v>4.583333333333331</v>
                </pt>
                <pt idx="7">
                  <v>4.666666666666664</v>
                </pt>
                <pt idx="8">
                  <v>4.749999999999997</v>
                </pt>
                <pt idx="9">
                  <v>4.83333333333333</v>
                </pt>
                <pt idx="10">
                  <v>4.916666666666663</v>
                </pt>
                <pt idx="11">
                  <v>4.999999999999996</v>
                </pt>
                <pt idx="12">
                  <v>5.083333333333329</v>
                </pt>
                <pt idx="13">
                  <v>5.166666666666663</v>
                </pt>
                <pt idx="14">
                  <v>5.249999999999996</v>
                </pt>
                <pt idx="15">
                  <v>5.333333333333329</v>
                </pt>
                <pt idx="16">
                  <v>5.416666666666662</v>
                </pt>
                <pt idx="17">
                  <v>5.499999999999995</v>
                </pt>
                <pt idx="18">
                  <v>5.583333333333328</v>
                </pt>
                <pt idx="19">
                  <v>5.666666666666661</v>
                </pt>
                <pt idx="20">
                  <v>5.749999999999994</v>
                </pt>
                <pt idx="21">
                  <v>5.833333333333327</v>
                </pt>
                <pt idx="22">
                  <v>5.91666666666666</v>
                </pt>
                <pt idx="23">
                  <v>5.999999999999993</v>
                </pt>
                <pt idx="24">
                  <v>6.083333333333326</v>
                </pt>
                <pt idx="25">
                  <v>6.166666666666659</v>
                </pt>
                <pt idx="26">
                  <v>6.249999999999992</v>
                </pt>
                <pt idx="27">
                  <v>6.333333333333325</v>
                </pt>
                <pt idx="28">
                  <v>6.416666666666658</v>
                </pt>
                <pt idx="29">
                  <v>6.499999999999991</v>
                </pt>
                <pt idx="30">
                  <v>6.583333333333324</v>
                </pt>
                <pt idx="31">
                  <v>6.666666666666657</v>
                </pt>
                <pt idx="32">
                  <v>6.74999999999999</v>
                </pt>
                <pt idx="33">
                  <v>6.833333333333323</v>
                </pt>
                <pt idx="34">
                  <v>6.916666666666656</v>
                </pt>
                <pt idx="35">
                  <v>6.999999999999989</v>
                </pt>
              </numCache>
            </numRef>
          </val>
        </ser>
        <ser>
          <idx val="4"/>
          <order val="4"/>
          <tx>
            <v>Customer Success</v>
          </tx>
          <spPr>
            <a:solidFill xmlns:a="http://schemas.openxmlformats.org/drawingml/2006/main">
              <a:srgbClr val="2E7D5B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Dashboard'!$C$84:$AL$84</f>
              <numCache>
                <formatCode>#,##0.0;\(#,##0.0\);\-</formatCode>
                <ptCount val="36"/>
                <pt idx="0">
                  <v>7.166666666666667</v>
                </pt>
                <pt idx="1">
                  <v>7.333333333333334</v>
                </pt>
                <pt idx="2">
                  <v>7.500000000000001</v>
                </pt>
                <pt idx="3">
                  <v>7.666666666666668</v>
                </pt>
                <pt idx="4">
                  <v>7.833333333333335</v>
                </pt>
                <pt idx="5">
                  <v>8.000000000000002</v>
                </pt>
                <pt idx="6">
                  <v>8.166666666666668</v>
                </pt>
                <pt idx="7">
                  <v>8.333333333333334</v>
                </pt>
                <pt idx="8">
                  <v>8.5</v>
                </pt>
                <pt idx="9">
                  <v>8.666666666666666</v>
                </pt>
                <pt idx="10">
                  <v>8.833333333333332</v>
                </pt>
                <pt idx="11">
                  <v>8.999999999999998</v>
                </pt>
                <pt idx="12">
                  <v>9.249999999999998</v>
                </pt>
                <pt idx="13">
                  <v>9.499999999999998</v>
                </pt>
                <pt idx="14">
                  <v>9.749999999999998</v>
                </pt>
                <pt idx="15">
                  <v>9.999999999999998</v>
                </pt>
                <pt idx="16">
                  <v>10.25</v>
                </pt>
                <pt idx="17">
                  <v>10.5</v>
                </pt>
                <pt idx="18">
                  <v>10.75</v>
                </pt>
                <pt idx="19">
                  <v>11</v>
                </pt>
                <pt idx="20">
                  <v>11.25</v>
                </pt>
                <pt idx="21">
                  <v>11.5</v>
                </pt>
                <pt idx="22">
                  <v>11.75</v>
                </pt>
                <pt idx="23">
                  <v>12</v>
                </pt>
                <pt idx="24">
                  <v>12.25</v>
                </pt>
                <pt idx="25">
                  <v>12.5</v>
                </pt>
                <pt idx="26">
                  <v>12.75</v>
                </pt>
                <pt idx="27">
                  <v>13</v>
                </pt>
                <pt idx="28">
                  <v>13.25</v>
                </pt>
                <pt idx="29">
                  <v>13.5</v>
                </pt>
                <pt idx="30">
                  <v>13.75</v>
                </pt>
                <pt idx="31">
                  <v>14</v>
                </pt>
                <pt idx="32">
                  <v>14.25</v>
                </pt>
                <pt idx="33">
                  <v>14.5</v>
                </pt>
                <pt idx="34">
                  <v>14.75</v>
                </pt>
                <pt idx="35">
                  <v>15</v>
                </pt>
              </numCache>
            </numRef>
          </val>
        </ser>
        <ser>
          <idx val="5"/>
          <order val="5"/>
          <tx>
            <v>G&amp;A</v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'KPI Dashboard'!$C$56:$AL$56</f>
              <numCache>
                <formatCode>mmm\-yy</formatCode>
                <ptCount val="36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  <pt idx="12">
                  <v>46388</v>
                </pt>
                <pt idx="13">
                  <v>46419</v>
                </pt>
                <pt idx="14">
                  <v>46447</v>
                </pt>
                <pt idx="15">
                  <v>46478</v>
                </pt>
                <pt idx="16">
                  <v>46508</v>
                </pt>
                <pt idx="17">
                  <v>46539</v>
                </pt>
                <pt idx="18">
                  <v>46569</v>
                </pt>
                <pt idx="19">
                  <v>46600</v>
                </pt>
                <pt idx="20">
                  <v>46631</v>
                </pt>
                <pt idx="21">
                  <v>46661</v>
                </pt>
                <pt idx="22">
                  <v>46692</v>
                </pt>
                <pt idx="23">
                  <v>46722</v>
                </pt>
                <pt idx="24">
                  <v>46753</v>
                </pt>
                <pt idx="25">
                  <v>46784</v>
                </pt>
                <pt idx="26">
                  <v>46813</v>
                </pt>
                <pt idx="27">
                  <v>46844</v>
                </pt>
                <pt idx="28">
                  <v>46874</v>
                </pt>
                <pt idx="29">
                  <v>46905</v>
                </pt>
                <pt idx="30">
                  <v>46935</v>
                </pt>
                <pt idx="31">
                  <v>46966</v>
                </pt>
                <pt idx="32">
                  <v>46997</v>
                </pt>
                <pt idx="33">
                  <v>47027</v>
                </pt>
                <pt idx="34">
                  <v>47058</v>
                </pt>
                <pt idx="35">
                  <v>47088</v>
                </pt>
              </numCache>
            </numRef>
          </cat>
          <val>
            <numRef>
              <f>'KPI Dashboard'!$C$85:$AL$85</f>
              <numCache>
                <formatCode>#,##0.0;\(#,##0.0\);\-</formatCode>
                <ptCount val="36"/>
                <pt idx="0">
                  <v>5.083333333333333</v>
                </pt>
                <pt idx="1">
                  <v>5.166666666666666</v>
                </pt>
                <pt idx="2">
                  <v>5.249999999999999</v>
                </pt>
                <pt idx="3">
                  <v>5.333333333333332</v>
                </pt>
                <pt idx="4">
                  <v>5.416666666666665</v>
                </pt>
                <pt idx="5">
                  <v>5.499999999999998</v>
                </pt>
                <pt idx="6">
                  <v>5.583333333333331</v>
                </pt>
                <pt idx="7">
                  <v>5.666666666666664</v>
                </pt>
                <pt idx="8">
                  <v>5.749999999999997</v>
                </pt>
                <pt idx="9">
                  <v>5.83333333333333</v>
                </pt>
                <pt idx="10">
                  <v>5.916666666666663</v>
                </pt>
                <pt idx="11">
                  <v>5.999999999999996</v>
                </pt>
                <pt idx="12">
                  <v>6.083333333333329</v>
                </pt>
                <pt idx="13">
                  <v>6.166666666666663</v>
                </pt>
                <pt idx="14">
                  <v>6.249999999999996</v>
                </pt>
                <pt idx="15">
                  <v>6.333333333333329</v>
                </pt>
                <pt idx="16">
                  <v>6.416666666666662</v>
                </pt>
                <pt idx="17">
                  <v>6.499999999999995</v>
                </pt>
                <pt idx="18">
                  <v>6.583333333333328</v>
                </pt>
                <pt idx="19">
                  <v>6.666666666666661</v>
                </pt>
                <pt idx="20">
                  <v>6.749999999999994</v>
                </pt>
                <pt idx="21">
                  <v>6.833333333333327</v>
                </pt>
                <pt idx="22">
                  <v>6.91666666666666</v>
                </pt>
                <pt idx="23">
                  <v>6.999999999999993</v>
                </pt>
                <pt idx="24">
                  <v>7.083333333333326</v>
                </pt>
                <pt idx="25">
                  <v>7.166666666666659</v>
                </pt>
                <pt idx="26">
                  <v>7.249999999999992</v>
                </pt>
                <pt idx="27">
                  <v>7.333333333333325</v>
                </pt>
                <pt idx="28">
                  <v>7.416666666666658</v>
                </pt>
                <pt idx="29">
                  <v>7.499999999999991</v>
                </pt>
                <pt idx="30">
                  <v>7.583333333333324</v>
                </pt>
                <pt idx="31">
                  <v>7.666666666666657</v>
                </pt>
                <pt idx="32">
                  <v>7.74999999999999</v>
                </pt>
                <pt idx="33">
                  <v>7.833333333333323</v>
                </pt>
                <pt idx="34">
                  <v>7.916666666666656</v>
                </pt>
                <pt idx="35">
                  <v>7.999999999999989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30"/>
        <overlap val="100"/>
        <axId val="84115120"/>
        <axId val="87484297"/>
      </barChart>
      <dateAx>
        <axId val="84115120"/>
        <scaling>
          <orientation val="minMax"/>
        </scaling>
        <delete val="0"/>
        <axPos val="b"/>
        <numFmt formatCode="mmm\-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C9CFD6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87484297"/>
        <crosses val="autoZero"/>
        <lblOffset val="100"/>
        <baseTimeUnit val="months"/>
      </dateAx>
      <valAx>
        <axId val="87484297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6EA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84115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800" b="0" strike="noStrike">
              <a:solidFill>
                <a:srgbClr val="8A94A0"/>
              </a:solidFill>
              <a:uFillTx/>
              <a:latin typeface="Aptos"/>
            </a:defRPr>
          </a:pPr>
          <a:r>
            <a:t/>
          </a:r>
          <a:endParaRPr lang="en-PK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ARR growth waterfall, Jan-26 to Dec-28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'KPI Dashboard'!$C$89:$G$89</f>
              <strCache>
                <ptCount val="5"/>
                <pt idx="0">
                  <v>Opening ARR</v>
                </pt>
                <pt idx="1">
                  <v>New business</v>
                </pt>
                <pt idx="2">
                  <v>Expansion</v>
                </pt>
                <pt idx="3">
                  <v>Churn</v>
                </pt>
                <pt idx="4">
                  <v>Closing ARR</v>
                </pt>
              </strCache>
            </strRef>
          </cat>
          <val>
            <numRef>
              <f>'KPI Dashboard'!$C$90:$G$90</f>
              <numCache>
                <formatCode>\$#,##0.0,,\m</formatCode>
                <ptCount val="5"/>
                <pt idx="0">
                  <v>0</v>
                </pt>
                <pt idx="1">
                  <v>3996000</v>
                </pt>
                <pt idx="2">
                  <v>15621403.89035971</v>
                </pt>
                <pt idx="3">
                  <v>15461650.11764424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20304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'KPI Dashboard'!$C$89:$G$89</f>
              <strCache>
                <ptCount val="5"/>
                <pt idx="0">
                  <v>Opening ARR</v>
                </pt>
                <pt idx="1">
                  <v>New business</v>
                </pt>
                <pt idx="2">
                  <v>Expansion</v>
                </pt>
                <pt idx="3">
                  <v>Churn</v>
                </pt>
                <pt idx="4">
                  <v>Closing ARR</v>
                </pt>
              </strCache>
            </strRef>
          </cat>
          <val>
            <numRef>
              <f>'KPI Dashboard'!$C$91:$G$91</f>
              <numCache>
                <formatCode>\$#,##0.0,,\m</formatCode>
                <ptCount val="5"/>
                <pt idx="0">
                  <v>3996000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15461650.11764424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rgbClr val="2E7D5B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'KPI Dashboard'!$C$89:$G$89</f>
              <strCache>
                <ptCount val="5"/>
                <pt idx="0">
                  <v>Opening ARR</v>
                </pt>
                <pt idx="1">
                  <v>New business</v>
                </pt>
                <pt idx="2">
                  <v>Expansion</v>
                </pt>
                <pt idx="3">
                  <v>Churn</v>
                </pt>
                <pt idx="4">
                  <v>Closing ARR</v>
                </pt>
              </strCache>
            </strRef>
          </cat>
          <val>
            <numRef>
              <f>'KPI Dashboard'!$C$92:$G$92</f>
              <numCache>
                <formatCode>\$#,##0.0,,\m</formatCode>
                <ptCount val="5"/>
                <pt idx="0">
                  <v>0</v>
                </pt>
                <pt idx="1">
                  <v>11625403.89035971</v>
                </pt>
                <pt idx="2">
                  <v>3224323.896837562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/>
                </a:r>
                <a:endParaRPr lang="en-PK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'KPI Dashboard'!$C$89:$G$89</f>
              <strCache>
                <ptCount val="5"/>
                <pt idx="0">
                  <v>Opening ARR</v>
                </pt>
                <pt idx="1">
                  <v>New business</v>
                </pt>
                <pt idx="2">
                  <v>Expansion</v>
                </pt>
                <pt idx="3">
                  <v>Churn</v>
                </pt>
                <pt idx="4">
                  <v>Closing ARR</v>
                </pt>
              </strCache>
            </strRef>
          </cat>
          <val>
            <numRef>
              <f>'KPI Dashboard'!$C$93:$G$93</f>
              <numCache>
                <formatCode>\$#,##0.0,,\m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3384077.669553034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5"/>
        <overlap val="100"/>
        <axId val="52097038"/>
        <axId val="8072333"/>
      </barChart>
      <catAx>
        <axId val="5209703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C9CFD6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8072333"/>
        <crosses val="autoZero"/>
        <auto val="1"/>
        <lblAlgn val="ctr"/>
        <lblOffset val="100"/>
        <noMultiLvlLbl val="0"/>
      </catAx>
      <valAx>
        <axId val="8072333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6EA"/>
              </a:solidFill>
              <a:prstDash val="solid"/>
            </a:ln>
          </spPr>
        </majorGridlines>
        <numFmt formatCode="\$#,##0.0,,\m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r>
              <a:t/>
            </a:r>
            <a:endParaRPr lang="en-PK"/>
          </a:p>
        </txPr>
        <crossAx val="5209703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20</row>
      <rowOff>0</rowOff>
    </from>
    <to>
      <col>9</col>
      <colOff>263520</colOff>
      <row>35</row>
      <rowOff>165960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20</row>
      <rowOff>0</rowOff>
    </from>
    <to>
      <col>18</col>
      <colOff>263520</colOff>
      <row>35</row>
      <rowOff>165960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20</col>
      <colOff>0</colOff>
      <row>20</row>
      <rowOff>0</rowOff>
    </from>
    <to>
      <col>27</col>
      <colOff>263160</colOff>
      <row>35</row>
      <rowOff>165960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</col>
      <colOff>0</colOff>
      <row>37</row>
      <rowOff>0</rowOff>
    </from>
    <to>
      <col>9</col>
      <colOff>263520</colOff>
      <row>51</row>
      <rowOff>350470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11</col>
      <colOff>0</colOff>
      <row>37</row>
      <rowOff>0</rowOff>
    </from>
    <to>
      <col>18</col>
      <colOff>263520</colOff>
      <row>51</row>
      <rowOff>350470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v11.xlsx" TargetMode="External" Id="rId1"/><Relationship Type="http://schemas.openxmlformats.org/officeDocument/2006/relationships/hyperlink" Target="v11.xlsx" TargetMode="External" Id="rId2"/><Relationship Type="http://schemas.openxmlformats.org/officeDocument/2006/relationships/hyperlink" Target="v11.xlsx" TargetMode="External" Id="rId3"/><Relationship Type="http://schemas.openxmlformats.org/officeDocument/2006/relationships/hyperlink" Target="v11.xlsx" TargetMode="External" Id="rId4"/><Relationship Type="http://schemas.openxmlformats.org/officeDocument/2006/relationships/hyperlink" Target="v11.xlsx" TargetMode="External" Id="rId5"/><Relationship Type="http://schemas.openxmlformats.org/officeDocument/2006/relationships/hyperlink" Target="v11.xlsx" TargetMode="External" Id="rId6"/><Relationship Type="http://schemas.openxmlformats.org/officeDocument/2006/relationships/hyperlink" Target="v11.xlsx" TargetMode="External" Id="rId7"/><Relationship Type="http://schemas.openxmlformats.org/officeDocument/2006/relationships/hyperlink" Target="v11.xlsx" TargetMode="External" Id="rId8"/><Relationship Type="http://schemas.openxmlformats.org/officeDocument/2006/relationships/hyperlink" Target="v11.xlsx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v11.xlsx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v11.xlsx" TargetMode="External" Id="rId1"/><Relationship Type="http://schemas.openxmlformats.org/officeDocument/2006/relationships/hyperlink" Target="v11.xlsx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tabColor rgb="FF203040"/>
    <outlinePr summaryBelow="1" summaryRight="1"/>
    <pageSetUpPr fitToPage="1"/>
  </sheetPr>
  <dimension ref="A1:K51"/>
  <sheetViews>
    <sheetView showGridLines="0" tabSelected="1" topLeftCell="A31" zoomScaleNormal="100" workbookViewId="0">
      <selection activeCell="D37" sqref="D37"/>
    </sheetView>
  </sheetViews>
  <sheetFormatPr baseColWidth="8" defaultColWidth="8.6328125" defaultRowHeight="14.5"/>
  <cols>
    <col width="3" customWidth="1" min="1" max="1"/>
    <col width="14" customWidth="1" min="2" max="10"/>
    <col width="11.453125" customWidth="1" min="11" max="38"/>
    <col width="2" customWidth="1" min="39" max="39"/>
    <col width="13.453125" customWidth="1" min="40" max="4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9.5" customHeight="1">
      <c r="A4" s="1" t="n"/>
      <c r="B4" s="2" t="inlineStr">
        <is>
          <t>NOVAFLOW ANALYTICS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17" customHeight="1">
      <c r="A5" s="1" t="n"/>
      <c r="B5" s="3" t="inlineStr">
        <is>
          <t>Three-Year Operating Plan and SaaS KPI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4" t="inlineStr">
        <is>
          <t>FY2026 to FY2028  |  Monthly engine  |  Scenario-driven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.75" customHeight="1">
      <c r="A8" s="1" t="n"/>
      <c r="B8" s="5" t="n"/>
      <c r="C8" s="5" t="n"/>
      <c r="D8" s="5" t="n"/>
      <c r="E8" s="5" t="n"/>
      <c r="F8" s="5" t="n"/>
      <c r="G8" s="5" t="n"/>
      <c r="H8" s="5" t="n"/>
      <c r="I8" s="5" t="n"/>
      <c r="J8" s="1" t="n"/>
      <c r="K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16.5" customHeight="1">
      <c r="A10" s="1" t="n"/>
      <c r="B10" s="6" t="inlineStr">
        <is>
          <t>THE BUSINESS IN BRIEF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>
      <c r="A12" s="1" t="n"/>
      <c r="B12" s="7" t="inlineStr">
        <is>
          <t>B2B SaaS: workflow analytics for enterprise and mid-market operations teams.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7" t="inlineStr">
        <is>
          <t>Two tiers: Professional (mid-market, monthly billing) and Enterprise (annual upfront).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>
      <c r="A14" s="1" t="n"/>
      <c r="B14" s="7" t="inlineStr">
        <is>
          <t>Growth: steady new-logo adds, ~4%/yr pricing, expansion-led NRR above 100% in Enterprise.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1" t="n"/>
      <c r="B15" s="7" t="inlineStr">
        <is>
          <t>Plan: ARR ~$4m to ~$15m, EBITDA margin ~-65% to ~-16%, funded by an $18m Series B.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>
      <c r="A16" s="1" t="n"/>
      <c r="B16" s="7" t="inlineStr">
        <is>
          <t>Full narrative and reading guide on the Instructions sheet.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6.5" customHeight="1">
      <c r="A19" s="1" t="n"/>
      <c r="B19" s="6" t="inlineStr">
        <is>
          <t>CONTENTS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>
      <c r="A21" s="1" t="n"/>
      <c r="B21" s="8" t="inlineStr">
        <is>
          <t>Instructions</t>
        </is>
      </c>
      <c r="C21" s="1" t="n"/>
      <c r="D21" s="9" t="inlineStr">
        <is>
          <t>How the model works, colour legend, checks panel, V2 roadmap</t>
        </is>
      </c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8" t="inlineStr">
        <is>
          <t>Assumptions</t>
        </is>
      </c>
      <c r="C22" s="1" t="n"/>
      <c r="D22" s="9" t="inlineStr">
        <is>
          <t>All static inputs: pricing, cost drivers, headcount plan, tax and cash</t>
        </is>
      </c>
      <c r="E22" s="1" t="n"/>
      <c r="F22" s="1" t="n"/>
      <c r="G22" s="1" t="n"/>
      <c r="H22" s="1" t="n"/>
      <c r="I22" s="1" t="n"/>
      <c r="J22" s="1" t="n"/>
      <c r="K22" s="1" t="n"/>
    </row>
    <row r="23">
      <c r="A23" s="1" t="n"/>
      <c r="B23" s="8" t="inlineStr">
        <is>
          <t>Scenario Manager</t>
        </is>
      </c>
      <c r="C23" s="1" t="n"/>
      <c r="D23" s="9" t="inlineStr">
        <is>
          <t>Base / Optimistic / Downside levers and the live scenario control</t>
        </is>
      </c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8" t="inlineStr">
        <is>
          <t>Revenue Model</t>
        </is>
      </c>
      <c r="C24" s="1" t="n"/>
      <c r="D24" s="9" t="inlineStr">
        <is>
          <t>Customer and MRR roll-forwards, ARR waterfall, billings and deferred revenue</t>
        </is>
      </c>
      <c r="E24" s="1" t="n"/>
      <c r="F24" s="1" t="n"/>
      <c r="G24" s="1" t="n"/>
      <c r="H24" s="1" t="n"/>
      <c r="I24" s="1" t="n"/>
      <c r="J24" s="1" t="n"/>
      <c r="K24" s="1" t="n"/>
    </row>
    <row r="25">
      <c r="A25" s="1" t="n"/>
      <c r="B25" s="8" t="inlineStr">
        <is>
          <t>Headcount</t>
        </is>
      </c>
      <c r="C25" s="1" t="n"/>
      <c r="D25" s="9" t="inlineStr">
        <is>
          <t>Hiring plan, headcount and fully loaded payroll by department</t>
        </is>
      </c>
      <c r="E25" s="1" t="n"/>
      <c r="F25" s="1" t="n"/>
      <c r="G25" s="1" t="n"/>
      <c r="H25" s="1" t="n"/>
      <c r="I25" s="1" t="n"/>
      <c r="J25" s="1" t="n"/>
      <c r="K25" s="1" t="n"/>
    </row>
    <row r="26">
      <c r="A26" s="1" t="n"/>
      <c r="B26" s="8" t="inlineStr">
        <is>
          <t>Operating Expenses</t>
        </is>
      </c>
      <c r="C26" s="1" t="n"/>
      <c r="D26" s="9" t="inlineStr">
        <is>
          <t>COGS, S&amp;M, R&amp;D and G&amp;A build; capex placeholder and depreciation</t>
        </is>
      </c>
      <c r="E26" s="1" t="n"/>
      <c r="F26" s="1" t="n"/>
      <c r="G26" s="1" t="n"/>
      <c r="H26" s="1" t="n"/>
      <c r="I26" s="1" t="n"/>
      <c r="J26" s="1" t="n"/>
      <c r="K26" s="1" t="n"/>
    </row>
    <row r="27">
      <c r="A27" s="1" t="n"/>
      <c r="B27" s="8" t="inlineStr">
        <is>
          <t>Income Statement</t>
        </is>
      </c>
      <c r="C27" s="1" t="n"/>
      <c r="D27" s="9" t="inlineStr">
        <is>
          <t>Monthly P&amp;L with NOL-adjusted tax and FY2026 to FY2028 rollups</t>
        </is>
      </c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8" t="inlineStr">
        <is>
          <t>Cash Flow</t>
        </is>
      </c>
      <c r="C28" s="1" t="n"/>
      <c r="D28" s="9" t="inlineStr">
        <is>
          <t>Indirect cash flow, cash roll-forward, burn and runway</t>
        </is>
      </c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8" t="inlineStr">
        <is>
          <t>KPI Dashboard</t>
        </is>
      </c>
      <c r="C29" s="1" t="n"/>
      <c r="D29" s="9" t="inlineStr">
        <is>
          <t>Executive cards, SaaS efficiency metrics and charts</t>
        </is>
      </c>
      <c r="E29" s="1" t="n"/>
      <c r="F29" s="1" t="n"/>
      <c r="G29" s="1" t="n"/>
      <c r="H29" s="1" t="n"/>
      <c r="I29" s="1" t="n"/>
      <c r="J29" s="1" t="n"/>
      <c r="K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6.5" customHeight="1">
      <c r="A32" s="1" t="n"/>
      <c r="B32" s="6" t="inlineStr">
        <is>
          <t>MODEL CONTROL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>
      <c r="A34" s="1" t="n"/>
      <c r="B34" s="9" t="inlineStr">
        <is>
          <t>Version</t>
        </is>
      </c>
      <c r="C34" s="1" t="n"/>
      <c r="D34" s="10">
        <f>"1.0"</f>
        <v/>
      </c>
      <c r="E34" s="1" t="n"/>
      <c r="F34" s="1" t="n"/>
      <c r="G34" s="1" t="n"/>
      <c r="H34" s="1" t="n"/>
      <c r="I34" s="1" t="n"/>
      <c r="J34" s="1" t="n"/>
      <c r="K34" s="1" t="n"/>
    </row>
    <row r="35">
      <c r="A35" s="1" t="n"/>
      <c r="B35" s="9" t="inlineStr">
        <is>
          <t>Prepared by</t>
        </is>
      </c>
      <c r="C35" s="1" t="n"/>
      <c r="D35" s="10">
        <f>"Soban Farid"</f>
        <v/>
      </c>
      <c r="E35" s="1" t="n"/>
      <c r="F35" s="1" t="n"/>
      <c r="G35" s="1" t="n"/>
      <c r="H35" s="1" t="n"/>
      <c r="I35" s="1" t="n"/>
      <c r="J35" s="1" t="n"/>
      <c r="K35" s="1" t="n"/>
    </row>
    <row r="36">
      <c r="A36" s="1" t="n"/>
      <c r="B36" s="9" t="inlineStr">
        <is>
          <t>Last updated</t>
        </is>
      </c>
      <c r="C36" s="1" t="n"/>
      <c r="D36" s="11">
        <f>TODAY()</f>
        <v/>
      </c>
      <c r="E36" s="1" t="n"/>
      <c r="F36" s="1" t="n"/>
      <c r="G36" s="1" t="n"/>
      <c r="H36" s="1" t="n"/>
      <c r="I36" s="1" t="n"/>
      <c r="J36" s="1" t="n"/>
      <c r="K36" s="1" t="n"/>
    </row>
    <row r="37">
      <c r="A37" s="1" t="n"/>
      <c r="B37" s="9" t="inlineStr">
        <is>
          <t>Active scenario</t>
        </is>
      </c>
      <c r="C37" s="1" t="n"/>
      <c r="D37" s="10">
        <f>ScenarioSel</f>
        <v/>
      </c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>
      <c r="A39" s="1" t="n"/>
      <c r="B39" s="12" t="inlineStr">
        <is>
          <t>Confidential. Prepared for portfolio demonstration; all figures are illustrative.</t>
        </is>
      </c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</sheetData>
  <hyperlinks>
    <hyperlink xmlns:r="http://schemas.openxmlformats.org/officeDocument/2006/relationships" ref="B21" location="'Instructions'!A1" r:id="rId1"/>
    <hyperlink xmlns:r="http://schemas.openxmlformats.org/officeDocument/2006/relationships" ref="B22" location="'Assumptions'!A1" r:id="rId2"/>
    <hyperlink xmlns:r="http://schemas.openxmlformats.org/officeDocument/2006/relationships" ref="B23" location="'Scenario%20Manager'!A1" r:id="rId3"/>
    <hyperlink xmlns:r="http://schemas.openxmlformats.org/officeDocument/2006/relationships" ref="B24" location="'Revenue%20Model'!A1" r:id="rId4"/>
    <hyperlink xmlns:r="http://schemas.openxmlformats.org/officeDocument/2006/relationships" ref="B25" location="'Headcount'!A1" r:id="rId5"/>
    <hyperlink xmlns:r="http://schemas.openxmlformats.org/officeDocument/2006/relationships" ref="B26" location="'Operating%20Expenses'!A1" r:id="rId6"/>
    <hyperlink xmlns:r="http://schemas.openxmlformats.org/officeDocument/2006/relationships" ref="B27" location="'Income%20Statement'!A1" r:id="rId7"/>
    <hyperlink xmlns:r="http://schemas.openxmlformats.org/officeDocument/2006/relationships" ref="B28" location="'Cash%20Flow'!A1" r:id="rId8"/>
    <hyperlink xmlns:r="http://schemas.openxmlformats.org/officeDocument/2006/relationships" ref="B29" location="'KPI%20Dashboard'!A1" r:id="rId9"/>
  </hyperlinks>
  <pageMargins left="0.75" right="0.75" top="1" bottom="1" header="0.5" footer="0.5"/>
  <pageSetup orientation="landscape" fitToHeight="0" horizontalDpi="300" verticalDpi="300"/>
  <headerFooter>
    <oddHeader>&amp;LNovaFlow Analytics&amp;RCover</oddHeader>
    <oddFooter>&amp;LFP&amp;&amp;A Planning Model v1.0&amp;CConfidential&amp;RPage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6F8FAF"/>
    <outlinePr summaryBelow="1" summaryRight="1"/>
    <pageSetUpPr fitToPage="1"/>
  </sheetPr>
  <dimension ref="A1:AP68"/>
  <sheetViews>
    <sheetView showGridLines="0" topLeftCell="A42" zoomScaleNormal="100" workbookViewId="0">
      <selection activeCell="D46" sqref="D46"/>
    </sheetView>
  </sheetViews>
  <sheetFormatPr baseColWidth="8" defaultColWidth="8.6328125" defaultRowHeight="14.5"/>
  <cols>
    <col width="34" customWidth="1" min="1" max="1"/>
    <col width="16" customWidth="1" min="2" max="8"/>
    <col width="11.453125" customWidth="1" min="9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Instructions and Model Guide</t>
        </is>
      </c>
      <c r="B2" s="14" t="n"/>
      <c r="C2" s="14" t="n"/>
      <c r="D2" s="14" t="n"/>
      <c r="E2" s="17" t="inlineStr">
        <is>
          <t>read this sheet first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 ht="16.5" customHeight="1">
      <c r="A5" s="19" t="inlineStr">
        <is>
          <t>1. THE BUSINESS</t>
        </is>
      </c>
    </row>
    <row r="6">
      <c r="A6" s="20" t="inlineStr">
        <is>
          <t>NovaFlow Analytics sells workflow-analytics software to operations and finance teams that run</t>
        </is>
      </c>
    </row>
    <row r="7">
      <c r="A7" s="20" t="inlineStr">
        <is>
          <t>high-volume digital processes (claims, onboarding, order-to-cash). The platform ingests event</t>
        </is>
      </c>
    </row>
    <row r="8">
      <c r="A8" s="20" t="inlineStr">
        <is>
          <t>logs from CRM, ERP and ticketing systems and surfaces bottlenecks, SLA breaches and automation</t>
        </is>
      </c>
    </row>
    <row r="9">
      <c r="A9" s="20" t="inlineStr">
        <is>
          <t>candidates. Founded 2022; Series B closed Nov-2025 ($18m cash into the plan).</t>
        </is>
      </c>
    </row>
    <row r="10">
      <c r="A10" s="20" t="n"/>
    </row>
    <row r="11">
      <c r="A11" s="20" t="inlineStr">
        <is>
          <t>Two tiers map to two segments. Professional (mid-market, 200 to 2,000 employees) is billed</t>
        </is>
      </c>
    </row>
    <row r="12">
      <c r="A12" s="20" t="inlineStr">
        <is>
          <t>monthly at circa $850 per month, sold through an inside-sales motion with short cycles and</t>
        </is>
      </c>
    </row>
    <row r="13">
      <c r="A13" s="20" t="inlineStr">
        <is>
          <t>higher logo churn. Enterprise is billed annually upfront at circa $4,500 per month, sold</t>
        </is>
      </c>
    </row>
    <row r="14">
      <c r="A14" s="20" t="inlineStr">
        <is>
          <t>field-led with security review, lower churn and stronger seat and module expansion. Pricing</t>
        </is>
      </c>
    </row>
    <row r="15">
      <c r="A15" s="20" t="inlineStr">
        <is>
          <t>rises circa 4% per year, applied progressively as contracts renew, and expansion (seats,</t>
        </is>
      </c>
    </row>
    <row r="16">
      <c r="A16" s="20" t="inlineStr">
        <is>
          <t>usage, add-on modules) is the engine behind net revenue retention above 100% in Enterprise.</t>
        </is>
      </c>
    </row>
    <row r="17">
      <c r="A17" s="20" t="n"/>
    </row>
    <row r="18">
      <c r="A18" s="20" t="inlineStr">
        <is>
          <t>Go-to-market: mid-market volume drives logo growth and feeds the Enterprise pipeline;</t>
        </is>
      </c>
    </row>
    <row r="19">
      <c r="A19" s="20" t="inlineStr">
        <is>
          <t>Customer Success drives expansion; marketing programmes support a mid-teens ACV inbound</t>
        </is>
      </c>
    </row>
    <row r="20">
      <c r="A20" s="20" t="inlineStr">
        <is>
          <t>funnel. The three-year plan holds new-logo adds steady per month while ARPU and expansion</t>
        </is>
      </c>
    </row>
    <row r="21">
      <c r="A21" s="20" t="inlineStr">
        <is>
          <t>compound, taking ARR from circa $4m to circa $15m and EBITDA margin from circa -65% toward</t>
        </is>
      </c>
    </row>
    <row r="22">
      <c r="A22" s="20" t="inlineStr">
        <is>
          <t>the high minus-teens as the cost base is leveraged. The Series B is sized to fund the plan with</t>
        </is>
      </c>
    </row>
    <row r="23">
      <c r="A23" s="20" t="inlineStr">
        <is>
          <t>comfortable runway in the Base case.</t>
        </is>
      </c>
    </row>
    <row r="25" ht="16.5" customHeight="1">
      <c r="A25" s="19" t="inlineStr">
        <is>
          <t>2. HOW THE MODEL CALCULATES</t>
        </is>
      </c>
    </row>
    <row r="26">
      <c r="A26" s="20" t="inlineStr">
        <is>
          <t>Scenario Manager  &gt;  Assumptions  &gt;  Revenue Model | Headcount | Operating Expenses</t>
        </is>
      </c>
    </row>
    <row r="27">
      <c r="A27" s="20" t="inlineStr">
        <is>
          <t xml:space="preserve">  &gt;  Income Statement  &gt;  Cash Flow  &gt;  KPI Dashboard</t>
        </is>
      </c>
    </row>
    <row r="28">
      <c r="A28" s="20" t="n"/>
    </row>
    <row r="29">
      <c r="A29" s="20" t="inlineStr">
        <is>
          <t>The dependency spine is strictly one-directional: nothing downstream ever feeds upstream</t>
        </is>
      </c>
    </row>
    <row r="30">
      <c r="A30" s="20" t="inlineStr">
        <is>
          <t>and there are no circular references. Every figure outside the designated input cells is</t>
        </is>
      </c>
    </row>
    <row r="31">
      <c r="A31" s="20" t="inlineStr">
        <is>
          <t>a formula. Lookups use XLOOKUP (single-cell, non-spilling); MATCH remains only as a membership test in the checks panel. The month engine runs Jan-2026 to Dec-2028 with</t>
        </is>
      </c>
    </row>
    <row r="32">
      <c r="A32" s="20" t="inlineStr">
        <is>
          <t>FY rollup columns on the statements and KPI sheets.</t>
        </is>
      </c>
    </row>
    <row r="33">
      <c r="A33" s="20" t="n"/>
    </row>
    <row r="34">
      <c r="A34" s="20" t="inlineStr">
        <is>
          <t>Scenario mechanism: the control cell on Scenario Manager (dropdown: Base, Optimistic,</t>
        </is>
      </c>
    </row>
    <row r="35">
      <c r="A35" s="20" t="inlineStr">
        <is>
          <t>Downside) drives a Live column via INDEX/MATCH. Downstream sheets reference only the</t>
        </is>
      </c>
    </row>
    <row r="36">
      <c r="A36" s="20" t="inlineStr">
        <is>
          <t>Live column through named ranges, so flipping the dropdown recalculates the whole model.</t>
        </is>
      </c>
    </row>
    <row r="37">
      <c r="A37" s="20" t="n"/>
    </row>
    <row r="38">
      <c r="A38" s="20" t="inlineStr">
        <is>
          <t>Sign convention: revenue positive; costs positive and subtracted where they land;</t>
        </is>
      </c>
    </row>
    <row r="39">
      <c r="A39" s="20" t="inlineStr">
        <is>
          <t>negatives display in parentheses; zeros display as a dash. Customers and headcount are</t>
        </is>
      </c>
    </row>
    <row r="40">
      <c r="A40" s="20" t="inlineStr">
        <is>
          <t>modelled as continuous quantities (fractional in-month), standard for planning models.</t>
        </is>
      </c>
    </row>
    <row r="41">
      <c r="A41" s="20" t="inlineStr">
        <is>
          <t>Recognised revenue is closing MRR for the month, a stated simplification.</t>
        </is>
      </c>
    </row>
    <row r="43" ht="16.5" customHeight="1">
      <c r="A43" s="19" t="inlineStr">
        <is>
          <t>3. COLOUR LEGEND</t>
        </is>
      </c>
    </row>
    <row r="44">
      <c r="A44" s="20" t="inlineStr">
        <is>
          <t>Hardcoded input / scenario lever</t>
        </is>
      </c>
      <c r="D44" s="21" t="n">
        <v>1234</v>
      </c>
    </row>
    <row r="45">
      <c r="A45" s="20" t="inlineStr">
        <is>
          <t>Formula (same sheet)</t>
        </is>
      </c>
      <c r="D45" s="22">
        <f>1234</f>
        <v/>
      </c>
    </row>
    <row r="46">
      <c r="A46" s="20" t="inlineStr">
        <is>
          <t>Cross-sheet link</t>
        </is>
      </c>
      <c r="D46" s="23">
        <f>Cover!B4</f>
        <v/>
      </c>
    </row>
    <row r="47">
      <c r="A47" s="24" t="inlineStr">
        <is>
          <t>Inputs live only on Assumptions and Scenario Manager.</t>
        </is>
      </c>
    </row>
    <row r="49" ht="16.5" customHeight="1">
      <c r="A49" s="19" t="inlineStr">
        <is>
          <t>4. FONTS AND COMPATIBILITY</t>
        </is>
      </c>
    </row>
    <row r="50">
      <c r="A50" s="20" t="inlineStr">
        <is>
          <t>Headings: Aptos Display SemiBold. Body: Aptos. Dashboard titles: Bahnschrift SemiBold.</t>
        </is>
      </c>
    </row>
    <row r="51">
      <c r="A51" s="20" t="inlineStr">
        <is>
          <t>Numbers: Aptos Narrow. On Excel versions without Aptos or Bahnschrift, substitute Arial</t>
        </is>
      </c>
    </row>
    <row r="52">
      <c r="A52" s="20" t="inlineStr">
        <is>
          <t>and Arial Narrow; no layout or formula behaviour depends on the fonts.</t>
        </is>
      </c>
    </row>
    <row r="54" ht="16.5" customHeight="1">
      <c r="A54" s="19" t="inlineStr">
        <is>
          <t>5. VERSION 2 ROADMAP</t>
        </is>
      </c>
    </row>
    <row r="55">
      <c r="A55" s="20" t="inlineStr">
        <is>
          <t>Balance Sheet (three-statement close), Working Capital (DSO/DPO and full deferred</t>
        </is>
      </c>
    </row>
    <row r="56">
      <c r="A56" s="20" t="inlineStr">
        <is>
          <t>revenue balance), Capex and fixed asset schedule (replaces the capex placeholder and</t>
        </is>
      </c>
    </row>
    <row r="57">
      <c r="A57" s="20" t="inlineStr">
        <is>
          <t>straight-line depreciation), Debt schedule and financing section in the Cash Flow.</t>
        </is>
      </c>
    </row>
    <row r="58">
      <c r="A58" s="20" t="inlineStr">
        <is>
          <t>The Cash Flow already carries labelled placeholder lines so V2 bolts on without rework.</t>
        </is>
      </c>
    </row>
    <row r="61" ht="16.5" customHeight="1">
      <c r="A61" s="19" t="inlineStr">
        <is>
          <t>6. CHECKS PANEL (all must read OK)</t>
        </is>
      </c>
    </row>
    <row r="62">
      <c r="A62" s="25" t="inlineStr">
        <is>
          <t>Check</t>
        </is>
      </c>
      <c r="B62" s="26" t="n"/>
      <c r="C62" s="26" t="n"/>
      <c r="D62" s="27" t="inlineStr">
        <is>
          <t>Value</t>
        </is>
      </c>
      <c r="E62" s="27" t="inlineStr">
        <is>
          <t>Status</t>
        </is>
      </c>
    </row>
    <row r="63">
      <c r="A63" s="20" t="inlineStr">
        <is>
          <t>Scenario control is a valid scenario</t>
        </is>
      </c>
      <c r="D63" s="28">
        <f>IF(ISNUMBER(MATCH(ScenarioSel,ScenarioList,0)),1,0)</f>
        <v/>
      </c>
      <c r="E63" s="29">
        <f>IF(ISNUMBER(MATCH(ScenarioSel,ScenarioList,0)),"OK","FAIL")</f>
        <v/>
      </c>
    </row>
    <row r="64">
      <c r="A64" s="20" t="inlineStr">
        <is>
          <t>Income Statement revenue ties to Revenue Model</t>
        </is>
      </c>
      <c r="D64" s="30">
        <f>SUM('Income Statement'!AN7:AP7)-SUM('Revenue Model'!C36:AL36)</f>
        <v/>
      </c>
      <c r="E64" s="29">
        <f>IF(ABS(SUM('Income Statement'!AN7:AP7)-SUM('Revenue Model'!C36:AL36))&lt;1,"OK","FAIL")</f>
        <v/>
      </c>
    </row>
    <row r="65">
      <c r="A65" s="20" t="inlineStr">
        <is>
          <t>OpEx payroll ties to Headcount fully loaded cost</t>
        </is>
      </c>
      <c r="D65" s="30">
        <f>SUM(Headcount!C34:AL34)-(SUM('Operating Expenses'!C9:AL9)+SUM('Operating Expenses'!C13:AL13)+SUM('Operating Expenses'!C20:AL20)+SUM('Operating Expenses'!C26:AL26))</f>
        <v/>
      </c>
      <c r="E65" s="29">
        <f>IF(ABS(SUM(Headcount!C34:AL34)-(SUM('Operating Expenses'!C9:AL9)+SUM('Operating Expenses'!C13:AL13)+SUM('Operating Expenses'!C20:AL20)+SUM('Operating Expenses'!C26:AL26)))&lt;1,"OK","FAIL")</f>
        <v/>
      </c>
    </row>
    <row r="66">
      <c r="A66" s="20" t="inlineStr">
        <is>
          <t>Closing cash ties to opening cash plus cumulative FCF</t>
        </is>
      </c>
      <c r="D66" s="30">
        <f>'Cash Flow'!AL21-(A_Cash0+SUM('Cash Flow'!C17:AL17))</f>
        <v/>
      </c>
      <c r="E66" s="29">
        <f>IF(ABS('Cash Flow'!AL21-(A_Cash0+SUM('Cash Flow'!C17:AL17)))&lt;1,"OK","FAIL")</f>
        <v/>
      </c>
    </row>
    <row r="67">
      <c r="A67" s="20" t="inlineStr">
        <is>
          <t>ARR waterfall closing ties to MRR x 12</t>
        </is>
      </c>
      <c r="D67" s="30">
        <f>'Revenue Model'!AL45-'Revenue Model'!AL35</f>
        <v/>
      </c>
      <c r="E67" s="29">
        <f>IF(ABS('Revenue Model'!AL45-'Revenue Model'!AL35)&lt;1,"OK","FAIL")</f>
        <v/>
      </c>
    </row>
    <row r="68">
      <c r="A68" s="20" t="inlineStr">
        <is>
          <t>Tax charge never negative (NOL logic)</t>
        </is>
      </c>
      <c r="D68" s="30">
        <f>MIN('Income Statement'!C25:AL25)</f>
        <v/>
      </c>
      <c r="E68" s="29">
        <f>IF(MIN('Income Statement'!C25:AL25)&gt;=0,"OK","FAIL")</f>
        <v/>
      </c>
    </row>
  </sheetData>
  <conditionalFormatting sqref="E63:E68">
    <cfRule type="cellIs" priority="2" operator="equal" dxfId="16">
      <formula>"OK"</formula>
    </cfRule>
    <cfRule type="cellIs" priority="3" operator="equal" dxfId="15">
      <formula>"FAIL"</formula>
    </cfRule>
  </conditionalFormatting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Analytics&amp;RInstructions</oddHeader>
    <oddFooter>&amp;LFP&amp;&amp;A Planning Model v1.0&amp;CConfidential&amp;RPage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6F8FAF"/>
    <outlinePr summaryBelow="1" summaryRight="1"/>
    <pageSetUpPr fitToPage="1"/>
  </sheetPr>
  <dimension ref="A1:AP4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328125" defaultRowHeight="14.5"/>
  <cols>
    <col width="36" customWidth="1" min="1" max="1"/>
    <col width="9" customWidth="1" min="2" max="2"/>
    <col width="13" customWidth="1" min="3" max="7"/>
    <col width="11.453125" customWidth="1" min="8" max="8"/>
    <col width="60" customWidth="1" min="9" max="9"/>
    <col width="11.453125" customWidth="1" min="10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Assumptions</t>
        </is>
      </c>
      <c r="B2" s="14" t="n"/>
      <c r="C2" s="14" t="n"/>
      <c r="D2" s="14" t="n"/>
      <c r="E2" s="17" t="inlineStr">
        <is>
          <t>all static inputs; blue cells are editable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>
      <c r="A5" s="31" t="inlineStr">
        <is>
          <t>MODEL SETTINGS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</row>
    <row r="6">
      <c r="A6" s="33" t="inlineStr">
        <is>
          <t>Model start month</t>
        </is>
      </c>
      <c r="B6" s="34" t="inlineStr">
        <is>
          <t>date</t>
        </is>
      </c>
      <c r="C6" s="35" t="n">
        <v>46023</v>
      </c>
      <c r="I6" s="24" t="inlineStr">
        <is>
          <t>Month headers roll forward from this cell via EDATE.</t>
        </is>
      </c>
    </row>
    <row r="7">
      <c r="A7" s="33" t="inlineStr">
        <is>
          <t>Projection horizon</t>
        </is>
      </c>
      <c r="B7" s="34" t="inlineStr">
        <is>
          <t>months</t>
        </is>
      </c>
      <c r="C7" s="21" t="n">
        <v>36</v>
      </c>
    </row>
    <row r="9">
      <c r="A9" s="31" t="inlineStr">
        <is>
          <t>CUSTOMER BASE AND PRICING AT DEC-2025</t>
        </is>
      </c>
      <c r="B9" s="32" t="n"/>
      <c r="C9" s="32" t="n"/>
      <c r="D9" s="32" t="n"/>
      <c r="E9" s="32" t="n"/>
      <c r="F9" s="32" t="n"/>
      <c r="G9" s="32" t="n"/>
      <c r="H9" s="32" t="n"/>
      <c r="I9" s="32" t="n"/>
    </row>
    <row r="10">
      <c r="A10" s="33" t="inlineStr">
        <is>
          <t>Enterprise customers</t>
        </is>
      </c>
      <c r="B10" s="34" t="inlineStr">
        <is>
          <t>#</t>
        </is>
      </c>
      <c r="C10" s="21" t="n">
        <v>40</v>
      </c>
      <c r="I10" s="24" t="inlineStr">
        <is>
          <t>Series B scale: ~$4.0m ARR across 220 logos.</t>
        </is>
      </c>
    </row>
    <row r="11">
      <c r="A11" s="33" t="inlineStr">
        <is>
          <t>Mid-market customers</t>
        </is>
      </c>
      <c r="B11" s="34" t="inlineStr">
        <is>
          <t>#</t>
        </is>
      </c>
      <c r="C11" s="21" t="n">
        <v>180</v>
      </c>
    </row>
    <row r="12">
      <c r="A12" s="33" t="inlineStr">
        <is>
          <t>Enterprise starting ARPU</t>
        </is>
      </c>
      <c r="B12" s="34" t="inlineStr">
        <is>
          <t>$/mo</t>
        </is>
      </c>
      <c r="C12" s="36" t="n">
        <v>4500</v>
      </c>
      <c r="I12" s="24" t="inlineStr">
        <is>
          <t>~$54k ACV, annual upfront billing.</t>
        </is>
      </c>
    </row>
    <row r="13">
      <c r="A13" s="33" t="inlineStr">
        <is>
          <t>Mid-market starting ARPU</t>
        </is>
      </c>
      <c r="B13" s="34" t="inlineStr">
        <is>
          <t>$/mo</t>
        </is>
      </c>
      <c r="C13" s="36" t="n">
        <v>850</v>
      </c>
      <c r="I13" s="24" t="inlineStr">
        <is>
          <t>~$10k ACV, monthly billing.</t>
        </is>
      </c>
    </row>
    <row r="15">
      <c r="A15" s="31" t="inlineStr">
        <is>
          <t>COST DRIVERS</t>
        </is>
      </c>
      <c r="B15" s="32" t="n"/>
      <c r="C15" s="32" t="n"/>
      <c r="D15" s="32" t="n"/>
      <c r="E15" s="32" t="n"/>
      <c r="F15" s="32" t="n"/>
      <c r="G15" s="32" t="n"/>
      <c r="H15" s="32" t="n"/>
      <c r="I15" s="32" t="n"/>
    </row>
    <row r="16">
      <c r="A16" s="33" t="inlineStr">
        <is>
          <t>Hosting and infrastructure</t>
        </is>
      </c>
      <c r="B16" s="34" t="inlineStr">
        <is>
          <t>% rev</t>
        </is>
      </c>
      <c r="C16" s="37" t="n">
        <v>0.09</v>
      </c>
      <c r="I16" s="24" t="inlineStr">
        <is>
          <t>Cloud plus data pipeline; scales with usage.</t>
        </is>
      </c>
    </row>
    <row r="17">
      <c r="A17" s="33" t="inlineStr">
        <is>
          <t>Customer Success allocated to COGS</t>
        </is>
      </c>
      <c r="B17" s="34" t="inlineStr">
        <is>
          <t>%</t>
        </is>
      </c>
      <c r="C17" s="37" t="n">
        <v>0.6</v>
      </c>
      <c r="I17" s="24" t="inlineStr">
        <is>
          <t>Support share of CS; remainder sits in S&amp;M.</t>
        </is>
      </c>
    </row>
    <row r="18">
      <c r="A18" s="33" t="inlineStr">
        <is>
          <t>Software and tools per head</t>
        </is>
      </c>
      <c r="B18" s="34" t="inlineStr">
        <is>
          <t>$/mo</t>
        </is>
      </c>
      <c r="C18" s="36" t="n">
        <v>150</v>
      </c>
    </row>
    <row r="19">
      <c r="A19" s="33" t="inlineStr">
        <is>
          <t>Rent and facilities per head</t>
        </is>
      </c>
      <c r="B19" s="34" t="inlineStr">
        <is>
          <t>$/mo</t>
        </is>
      </c>
      <c r="C19" s="36" t="n">
        <v>450</v>
      </c>
      <c r="I19" s="24" t="inlineStr">
        <is>
          <t>Facilities held in G&amp;A (company-wide).</t>
        </is>
      </c>
    </row>
    <row r="20">
      <c r="A20" s="33" t="inlineStr">
        <is>
          <t>Travel</t>
        </is>
      </c>
      <c r="B20" s="34" t="inlineStr">
        <is>
          <t>% payroll</t>
        </is>
      </c>
      <c r="C20" s="37" t="n">
        <v>0.02</v>
      </c>
      <c r="I20" s="24" t="inlineStr">
        <is>
          <t>Applied to S&amp;M payroll; half-rate for R&amp;D and G&amp;A.</t>
        </is>
      </c>
    </row>
    <row r="21">
      <c r="A21" s="33" t="inlineStr">
        <is>
          <t>Professional fees</t>
        </is>
      </c>
      <c r="B21" s="34" t="inlineStr">
        <is>
          <t>$/mo</t>
        </is>
      </c>
      <c r="C21" s="36" t="n">
        <v>30000</v>
      </c>
      <c r="I21" s="24" t="inlineStr">
        <is>
          <t>Audit, legal, recruitment.</t>
        </is>
      </c>
    </row>
    <row r="22">
      <c r="A22" s="33" t="inlineStr">
        <is>
          <t>Professional fees growth</t>
        </is>
      </c>
      <c r="B22" s="34" t="inlineStr">
        <is>
          <t>%/yr</t>
        </is>
      </c>
      <c r="C22" s="37" t="n">
        <v>0.05</v>
      </c>
    </row>
    <row r="23">
      <c r="A23" s="33" t="inlineStr">
        <is>
          <t>Marketing programme growth</t>
        </is>
      </c>
      <c r="B23" s="34" t="inlineStr">
        <is>
          <t>%/yr</t>
        </is>
      </c>
      <c r="C23" s="37" t="n">
        <v>0.2</v>
      </c>
      <c r="I23" s="24" t="inlineStr">
        <is>
          <t>Applied to the scenario marketing spend from FY2027.</t>
        </is>
      </c>
    </row>
    <row r="25">
      <c r="A25" s="31" t="inlineStr">
        <is>
          <t>PEOPLE COSTS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</row>
    <row r="26">
      <c r="A26" s="33" t="inlineStr">
        <is>
          <t>Bonus</t>
        </is>
      </c>
      <c r="B26" s="34" t="inlineStr">
        <is>
          <t>% base</t>
        </is>
      </c>
      <c r="C26" s="37" t="n">
        <v>0.1</v>
      </c>
    </row>
    <row r="27">
      <c r="A27" s="33" t="inlineStr">
        <is>
          <t>Benefits</t>
        </is>
      </c>
      <c r="B27" s="34" t="inlineStr">
        <is>
          <t>% base</t>
        </is>
      </c>
      <c r="C27" s="37" t="n">
        <v>0.12</v>
      </c>
    </row>
    <row r="28">
      <c r="A28" s="33" t="inlineStr">
        <is>
          <t>Employer payroll taxes</t>
        </is>
      </c>
      <c r="B28" s="34" t="inlineStr">
        <is>
          <t>% base</t>
        </is>
      </c>
      <c r="C28" s="37" t="n">
        <v>0.1</v>
      </c>
    </row>
    <row r="29">
      <c r="A29" s="33" t="inlineStr">
        <is>
          <t>Fully loaded factor</t>
        </is>
      </c>
      <c r="B29" s="34" t="inlineStr">
        <is>
          <t>x</t>
        </is>
      </c>
      <c r="C29" s="38">
        <f>(1+A_Bonus)*(1+A_Benefits+A_PTax)</f>
        <v/>
      </c>
      <c r="I29" s="24" t="inlineStr">
        <is>
          <t>Formula: base x (1+bonus) x (1+benefits+payroll taxes).</t>
        </is>
      </c>
    </row>
    <row r="31">
      <c r="A31" s="31" t="inlineStr">
        <is>
          <t>CAPITAL, TAX AND CASH</t>
        </is>
      </c>
      <c r="B31" s="32" t="n"/>
      <c r="C31" s="32" t="n"/>
      <c r="D31" s="32" t="n"/>
      <c r="E31" s="32" t="n"/>
      <c r="F31" s="32" t="n"/>
      <c r="G31" s="32" t="n"/>
      <c r="H31" s="32" t="n"/>
      <c r="I31" s="32" t="n"/>
    </row>
    <row r="32">
      <c r="A32" s="33" t="inlineStr">
        <is>
          <t>Capex placeholder</t>
        </is>
      </c>
      <c r="B32" s="34" t="inlineStr">
        <is>
          <t>$/mo</t>
        </is>
      </c>
      <c r="C32" s="36" t="n">
        <v>40000</v>
      </c>
      <c r="I32" s="24" t="inlineStr">
        <is>
          <t>V1 placeholder; replaced by the V2 capex schedule.</t>
        </is>
      </c>
    </row>
    <row r="33">
      <c r="A33" s="33" t="inlineStr">
        <is>
          <t>Depreciation life</t>
        </is>
      </c>
      <c r="B33" s="34" t="inlineStr">
        <is>
          <t>months</t>
        </is>
      </c>
      <c r="C33" s="21" t="n">
        <v>36</v>
      </c>
      <c r="I33" s="24" t="inlineStr">
        <is>
          <t>Straight line.</t>
        </is>
      </c>
    </row>
    <row r="34">
      <c r="A34" s="33" t="inlineStr">
        <is>
          <t>Corporation tax rate</t>
        </is>
      </c>
      <c r="B34" s="34" t="inlineStr">
        <is>
          <t>%</t>
        </is>
      </c>
      <c r="C34" s="37" t="n">
        <v>0.25</v>
      </c>
      <c r="I34" s="24" t="inlineStr">
        <is>
          <t>Applied to cumulative pre-tax income (NOL carryforward).</t>
        </is>
      </c>
    </row>
    <row r="35">
      <c r="A35" s="33" t="inlineStr">
        <is>
          <t>Opening cash, Jan-2026</t>
        </is>
      </c>
      <c r="B35" s="34" t="inlineStr">
        <is>
          <t>$</t>
        </is>
      </c>
      <c r="C35" s="36" t="n">
        <v>18000000</v>
      </c>
      <c r="I35" s="24" t="inlineStr">
        <is>
          <t>Series B closed Nov-2025.</t>
        </is>
      </c>
    </row>
    <row r="36">
      <c r="A36" s="33" t="inlineStr">
        <is>
          <t>Opening deferred revenue</t>
        </is>
      </c>
      <c r="B36" s="34" t="inlineStr">
        <is>
          <t>$</t>
        </is>
      </c>
      <c r="C36" s="36" t="n">
        <v>900000</v>
      </c>
      <c r="I36" s="24" t="inlineStr">
        <is>
          <t>Memo only in V1; the Cash Flow uses the monthly movement.</t>
        </is>
      </c>
    </row>
    <row r="38">
      <c r="A38" s="31" t="inlineStr">
        <is>
          <t>HEADCOUNT PLAN</t>
        </is>
      </c>
      <c r="B38" s="32" t="n"/>
      <c r="C38" s="32" t="n"/>
      <c r="D38" s="32" t="n"/>
      <c r="E38" s="32" t="n"/>
      <c r="F38" s="32" t="n"/>
      <c r="G38" s="32" t="n"/>
      <c r="H38" s="32" t="n"/>
      <c r="I38" s="39" t="inlineStr">
        <is>
          <t>Annual hires spread evenly across the year; the Scenario hiring pace multiplier scales them.</t>
        </is>
      </c>
    </row>
    <row r="39">
      <c r="A39" s="40" t="inlineStr">
        <is>
          <t>Department</t>
        </is>
      </c>
      <c r="B39" s="26" t="n"/>
      <c r="C39" s="27" t="inlineStr">
        <is>
          <t>Start HC</t>
        </is>
      </c>
      <c r="D39" s="27" t="inlineStr">
        <is>
          <t>Base salary</t>
        </is>
      </c>
      <c r="E39" s="41" t="n">
        <v>2026</v>
      </c>
      <c r="F39" s="41" t="n">
        <v>2027</v>
      </c>
      <c r="G39" s="41" t="n">
        <v>2028</v>
      </c>
    </row>
    <row r="40">
      <c r="A40" s="33" t="inlineStr">
        <is>
          <t>Engineering</t>
        </is>
      </c>
      <c r="C40" s="42" t="n">
        <v>12</v>
      </c>
      <c r="D40" s="36" t="n">
        <v>130000</v>
      </c>
      <c r="E40" s="42" t="n">
        <v>4</v>
      </c>
      <c r="F40" s="42" t="n">
        <v>3</v>
      </c>
      <c r="G40" s="42" t="n">
        <v>3</v>
      </c>
    </row>
    <row r="41">
      <c r="A41" s="33" t="inlineStr">
        <is>
          <t>Product</t>
        </is>
      </c>
      <c r="C41" s="42" t="n">
        <v>4</v>
      </c>
      <c r="D41" s="36" t="n">
        <v>120000</v>
      </c>
      <c r="E41" s="42" t="n">
        <v>1</v>
      </c>
      <c r="F41" s="42" t="n">
        <v>1</v>
      </c>
      <c r="G41" s="42" t="n">
        <v>1</v>
      </c>
    </row>
    <row r="42">
      <c r="A42" s="33" t="inlineStr">
        <is>
          <t>Sales</t>
        </is>
      </c>
      <c r="C42" s="42" t="n">
        <v>8</v>
      </c>
      <c r="D42" s="36" t="n">
        <v>105000</v>
      </c>
      <c r="E42" s="42" t="n">
        <v>3</v>
      </c>
      <c r="F42" s="42" t="n">
        <v>3</v>
      </c>
      <c r="G42" s="42" t="n">
        <v>3</v>
      </c>
    </row>
    <row r="43">
      <c r="A43" s="33" t="inlineStr">
        <is>
          <t>Marketing</t>
        </is>
      </c>
      <c r="C43" s="42" t="n">
        <v>4</v>
      </c>
      <c r="D43" s="36" t="n">
        <v>92000</v>
      </c>
      <c r="E43" s="42" t="n">
        <v>1</v>
      </c>
      <c r="F43" s="42" t="n">
        <v>1</v>
      </c>
      <c r="G43" s="42" t="n">
        <v>1</v>
      </c>
    </row>
    <row r="44">
      <c r="A44" s="33" t="inlineStr">
        <is>
          <t>Customer Success</t>
        </is>
      </c>
      <c r="C44" s="42" t="n">
        <v>7</v>
      </c>
      <c r="D44" s="36" t="n">
        <v>78000</v>
      </c>
      <c r="E44" s="42" t="n">
        <v>2</v>
      </c>
      <c r="F44" s="42" t="n">
        <v>3</v>
      </c>
      <c r="G44" s="42" t="n">
        <v>3</v>
      </c>
    </row>
    <row r="45">
      <c r="A45" s="33" t="inlineStr">
        <is>
          <t>G&amp;A</t>
        </is>
      </c>
      <c r="C45" s="42" t="n">
        <v>5</v>
      </c>
      <c r="D45" s="36" t="n">
        <v>100000</v>
      </c>
      <c r="E45" s="42" t="n">
        <v>1</v>
      </c>
      <c r="F45" s="42" t="n">
        <v>1</v>
      </c>
      <c r="G45" s="42" t="n">
        <v>1</v>
      </c>
    </row>
    <row r="47">
      <c r="A47" s="24" t="inlineStr">
        <is>
          <t>All other figures in this workbook are formulas.</t>
        </is>
      </c>
    </row>
  </sheetData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Analytics&amp;RAssumptions</oddHeader>
    <oddFooter>&amp;LFP&amp;&amp;A Planning Model v1.0&amp;CConfidential&amp;RPage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C49A6C"/>
    <outlinePr summaryBelow="1" summaryRight="1"/>
    <pageSetUpPr fitToPage="1"/>
  </sheetPr>
  <dimension ref="A1:AP24"/>
  <sheetViews>
    <sheetView showGridLines="0" zoomScaleNormal="100" workbookViewId="0">
      <pane ySplit="8" topLeftCell="A9" activePane="bottomLeft" state="frozen"/>
      <selection pane="bottomLeft" activeCell="A6" sqref="A6"/>
    </sheetView>
  </sheetViews>
  <sheetFormatPr baseColWidth="8" defaultColWidth="8.6328125" defaultRowHeight="14.5"/>
  <cols>
    <col width="36" customWidth="1" min="1" max="1"/>
    <col width="9" customWidth="1" min="2" max="2"/>
    <col width="13" customWidth="1" min="3" max="6"/>
    <col width="62" customWidth="1" min="7" max="7"/>
    <col width="11.453125" customWidth="1" min="8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Scenario Manager</t>
        </is>
      </c>
      <c r="B2" s="14" t="n"/>
      <c r="C2" s="14" t="n"/>
      <c r="D2" s="14" t="n"/>
      <c r="E2" s="17" t="inlineStr">
        <is>
          <t>one control cell drives the entire model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 ht="16.5" customHeight="1">
      <c r="A5" s="19" t="inlineStr">
        <is>
          <t>SCENARIO SELECTOR</t>
        </is>
      </c>
    </row>
    <row r="6" ht="16" customHeight="1">
      <c r="A6" s="33" t="inlineStr">
        <is>
          <t>Choose the active case:</t>
        </is>
      </c>
      <c r="C6" s="43" t="inlineStr">
        <is>
          <t>Base</t>
        </is>
      </c>
      <c r="D6" s="24" t="inlineStr">
        <is>
          <t>&lt;- data-validation dropdown; every downstream formula reads the Live column</t>
        </is>
      </c>
    </row>
    <row r="9">
      <c r="A9" s="40" t="inlineStr">
        <is>
          <t>Lever</t>
        </is>
      </c>
      <c r="B9" s="27" t="inlineStr">
        <is>
          <t>Unit</t>
        </is>
      </c>
      <c r="C9" s="27" t="inlineStr">
        <is>
          <t>Base</t>
        </is>
      </c>
      <c r="D9" s="27" t="inlineStr">
        <is>
          <t>Optimistic</t>
        </is>
      </c>
      <c r="E9" s="27" t="inlineStr">
        <is>
          <t>Downside</t>
        </is>
      </c>
      <c r="F9" s="44" t="inlineStr">
        <is>
          <t>Live</t>
        </is>
      </c>
      <c r="G9" s="25" t="inlineStr">
        <is>
          <t>Commercial logic</t>
        </is>
      </c>
    </row>
    <row r="10">
      <c r="A10" s="33" t="inlineStr">
        <is>
          <t>New enterprise customers</t>
        </is>
      </c>
      <c r="B10" s="34" t="inlineStr">
        <is>
          <t>/mo</t>
        </is>
      </c>
      <c r="C10" s="45" t="n">
        <v>3</v>
      </c>
      <c r="D10" s="45" t="n">
        <v>4</v>
      </c>
      <c r="E10" s="45" t="n">
        <v>2</v>
      </c>
      <c r="F10" s="46">
        <f>_xlfn.XLOOKUP(ScenarioSel,ScenarioList,C10:E10)</f>
        <v/>
      </c>
      <c r="G10" s="24" t="inlineStr">
        <is>
          <t>Field sales capacity; ~$54k ACV each.</t>
        </is>
      </c>
    </row>
    <row r="11">
      <c r="A11" s="33" t="inlineStr">
        <is>
          <t>New mid-market customers</t>
        </is>
      </c>
      <c r="B11" s="34" t="inlineStr">
        <is>
          <t>/mo</t>
        </is>
      </c>
      <c r="C11" s="45" t="n">
        <v>14</v>
      </c>
      <c r="D11" s="45" t="n">
        <v>18</v>
      </c>
      <c r="E11" s="45" t="n">
        <v>9</v>
      </c>
      <c r="F11" s="46">
        <f>_xlfn.XLOOKUP(ScenarioSel,ScenarioList,C11:E11)</f>
        <v/>
      </c>
      <c r="G11" s="24" t="inlineStr">
        <is>
          <t>Inside-sales volume engine; feeds Enterprise pipeline.</t>
        </is>
      </c>
    </row>
    <row r="12">
      <c r="A12" s="33" t="inlineStr">
        <is>
          <t>Enterprise MRR churn</t>
        </is>
      </c>
      <c r="B12" s="34" t="inlineStr">
        <is>
          <t>%/mo</t>
        </is>
      </c>
      <c r="C12" s="47" t="n">
        <v>0.007</v>
      </c>
      <c r="D12" s="47" t="n">
        <v>0.005</v>
      </c>
      <c r="E12" s="47" t="n">
        <v>0.01</v>
      </c>
      <c r="F12" s="48">
        <f>_xlfn.XLOOKUP(ScenarioSel,ScenarioList,C12:E12)</f>
        <v/>
      </c>
      <c r="G12" s="24" t="inlineStr">
        <is>
          <t>Annual contracts and security-led lock-in keep churn low.</t>
        </is>
      </c>
    </row>
    <row r="13">
      <c r="A13" s="33" t="inlineStr">
        <is>
          <t>Mid-market MRR churn</t>
        </is>
      </c>
      <c r="B13" s="34" t="inlineStr">
        <is>
          <t>%/mo</t>
        </is>
      </c>
      <c r="C13" s="47" t="n">
        <v>0.014</v>
      </c>
      <c r="D13" s="47" t="n">
        <v>0.012</v>
      </c>
      <c r="E13" s="47" t="n">
        <v>0.02</v>
      </c>
      <c r="F13" s="48">
        <f>_xlfn.XLOOKUP(ScenarioSel,ScenarioList,C13:E13)</f>
        <v/>
      </c>
      <c r="G13" s="24" t="inlineStr">
        <is>
          <t>Monthly billing and lighter onboarding mean higher churn.</t>
        </is>
      </c>
    </row>
    <row r="14">
      <c r="A14" s="33" t="inlineStr">
        <is>
          <t>Enterprise expansion</t>
        </is>
      </c>
      <c r="B14" s="34" t="inlineStr">
        <is>
          <t>%/mo</t>
        </is>
      </c>
      <c r="C14" s="47" t="n">
        <v>0.012</v>
      </c>
      <c r="D14" s="47" t="n">
        <v>0.015</v>
      </c>
      <c r="E14" s="47" t="n">
        <v>0.008</v>
      </c>
      <c r="F14" s="48">
        <f>_xlfn.XLOOKUP(ScenarioSel,ScenarioList,C14:E14)</f>
        <v/>
      </c>
      <c r="G14" s="24" t="inlineStr">
        <is>
          <t>Seats, usage and modules; the NRR engine.</t>
        </is>
      </c>
    </row>
    <row r="15">
      <c r="A15" s="33" t="inlineStr">
        <is>
          <t>Mid-market expansion</t>
        </is>
      </c>
      <c r="B15" s="34" t="inlineStr">
        <is>
          <t>%/mo</t>
        </is>
      </c>
      <c r="C15" s="47" t="n">
        <v>0.006</v>
      </c>
      <c r="D15" s="47" t="n">
        <v>0.008</v>
      </c>
      <c r="E15" s="47" t="n">
        <v>0.004</v>
      </c>
      <c r="F15" s="48">
        <f>_xlfn.XLOOKUP(ScenarioSel,ScenarioList,C15:E15)</f>
        <v/>
      </c>
      <c r="G15" s="24" t="inlineStr">
        <is>
          <t>Smaller accounts expand less.</t>
        </is>
      </c>
    </row>
    <row r="16">
      <c r="A16" s="33" t="inlineStr">
        <is>
          <t>Annual price increase</t>
        </is>
      </c>
      <c r="B16" s="34" t="inlineStr">
        <is>
          <t>%/yr</t>
        </is>
      </c>
      <c r="C16" s="47" t="n">
        <v>0.04</v>
      </c>
      <c r="D16" s="47" t="n">
        <v>0.06</v>
      </c>
      <c r="E16" s="47" t="n">
        <v>0.02</v>
      </c>
      <c r="F16" s="48">
        <f>_xlfn.XLOOKUP(ScenarioSel,ScenarioList,C16:E16)</f>
        <v/>
      </c>
      <c r="G16" s="24" t="inlineStr">
        <is>
          <t>Applied progressively via monthly ARPU compounding.</t>
        </is>
      </c>
    </row>
    <row r="17">
      <c r="A17" s="33" t="inlineStr">
        <is>
          <t>Hiring pace multiplier</t>
        </is>
      </c>
      <c r="B17" s="34" t="inlineStr">
        <is>
          <t>x</t>
        </is>
      </c>
      <c r="C17" s="49" t="n">
        <v>1</v>
      </c>
      <c r="D17" s="49" t="n">
        <v>1.15</v>
      </c>
      <c r="E17" s="49" t="n">
        <v>0.75</v>
      </c>
      <c r="F17" s="50">
        <f>_xlfn.XLOOKUP(ScenarioSel,ScenarioList,C17:E17)</f>
        <v/>
      </c>
      <c r="G17" s="24" t="inlineStr">
        <is>
          <t>Scales the annual hiring plan on Assumptions.</t>
        </is>
      </c>
    </row>
    <row r="18">
      <c r="A18" s="33" t="inlineStr">
        <is>
          <t>Marketing programmes, FY2026</t>
        </is>
      </c>
      <c r="B18" s="34" t="inlineStr">
        <is>
          <t>$/mo</t>
        </is>
      </c>
      <c r="C18" s="51" t="n">
        <v>150000</v>
      </c>
      <c r="D18" s="51" t="n">
        <v>175000</v>
      </c>
      <c r="E18" s="51" t="n">
        <v>110000</v>
      </c>
      <c r="F18" s="52">
        <f>_xlfn.XLOOKUP(ScenarioSel,ScenarioList,C18:E18)</f>
        <v/>
      </c>
      <c r="G18" s="24" t="inlineStr">
        <is>
          <t>Grows at the marketing growth rate from FY2027.</t>
        </is>
      </c>
    </row>
    <row r="19">
      <c r="A19" s="33" t="inlineStr">
        <is>
          <t>Salary inflation</t>
        </is>
      </c>
      <c r="B19" s="34" t="inlineStr">
        <is>
          <t>%/yr</t>
        </is>
      </c>
      <c r="C19" s="47" t="n">
        <v>0.04</v>
      </c>
      <c r="D19" s="47" t="n">
        <v>0.05</v>
      </c>
      <c r="E19" s="47" t="n">
        <v>0.03</v>
      </c>
      <c r="F19" s="48">
        <f>_xlfn.XLOOKUP(ScenarioSel,ScenarioList,C19:E19)</f>
        <v/>
      </c>
      <c r="G19" s="24" t="inlineStr">
        <is>
          <t>Applied each January to all salary bands.</t>
        </is>
      </c>
    </row>
    <row r="21" ht="16.5" customHeight="1">
      <c r="A21" s="19" t="inlineStr">
        <is>
          <t>CASE NARRATIVES</t>
        </is>
      </c>
    </row>
    <row r="22">
      <c r="A22" s="53" t="inlineStr">
        <is>
          <t>Base</t>
        </is>
      </c>
      <c r="C22" s="20" t="inlineStr">
        <is>
          <t>Plan of record: steady logo adds, 4% pricing, Enterprise NRR ~106% with blended NRR approaching 100% as the Enterprise mix builds, hiring to plan.</t>
        </is>
      </c>
    </row>
    <row r="23">
      <c r="A23" s="53" t="inlineStr">
        <is>
          <t>Optimistic</t>
        </is>
      </c>
      <c r="C23" s="20" t="inlineStr">
        <is>
          <t>Pipeline conversion improves, pricing power holds at 6%, hiring accelerates 15% to meet demand.</t>
        </is>
      </c>
    </row>
    <row r="24">
      <c r="A24" s="53" t="inlineStr">
        <is>
          <t>Downside</t>
        </is>
      </c>
      <c r="C24" s="20" t="inlineStr">
        <is>
          <t>Demand softens: fewer adds, higher churn, 2% pricing; hiring cut to 75% and marketing trimmed.</t>
        </is>
      </c>
    </row>
  </sheetData>
  <dataValidations count="1">
    <dataValidation sqref="C6" showDropDown="0" showInputMessage="0" showErrorMessage="0" allowBlank="0" errorTitle="Invalid scenario" error="Choose Base, Optimistic or Downside." type="list">
      <formula1>"Base,Optimistic,Downside"</formula1>
      <formula2>0</formula2>
    </dataValidation>
  </dataValidations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Analytics&amp;RScenario Manager</oddHeader>
    <oddFooter>&amp;LFP&amp;&amp;A Planning Model v1.0&amp;CConfidential&amp;RPage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6F8FAF"/>
    <outlinePr summaryBelow="1" summaryRight="1"/>
    <pageSetUpPr fitToPage="1"/>
  </sheetPr>
  <dimension ref="A1:AP54"/>
  <sheetViews>
    <sheetView showGridLines="0" zoomScaleNormal="100" workbookViewId="0">
      <pane xSplit="2" ySplit="5" topLeftCell="C46" activePane="bottomRight" state="frozen"/>
      <selection pane="topRight" activeCell="C1" sqref="C1"/>
      <selection pane="bottomLeft" activeCell="A6" sqref="A6"/>
      <selection pane="bottomRight" activeCell="D10" sqref="D10"/>
    </sheetView>
  </sheetViews>
  <sheetFormatPr baseColWidth="8" defaultColWidth="8.6328125" defaultRowHeight="14.5"/>
  <cols>
    <col width="36" customWidth="1" min="1" max="1"/>
    <col width="9" customWidth="1" min="2" max="2"/>
    <col width="11.453125" customWidth="1" min="3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Revenue Model</t>
        </is>
      </c>
      <c r="B2" s="14" t="n"/>
      <c r="C2" s="14" t="n"/>
      <c r="D2" s="14" t="n"/>
      <c r="E2" s="17" t="inlineStr">
        <is>
          <t>customer and MRR roll-forwards, ARR waterfall, billings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>
      <c r="A5" s="54" t="inlineStr">
        <is>
          <t>Month</t>
        </is>
      </c>
      <c r="C5" s="55">
        <f>ModelStart</f>
        <v/>
      </c>
      <c r="D5" s="55">
        <f>EDATE(C5,1)</f>
        <v/>
      </c>
      <c r="E5" s="55">
        <f>EDATE(D5,1)</f>
        <v/>
      </c>
      <c r="F5" s="55">
        <f>EDATE(E5,1)</f>
        <v/>
      </c>
      <c r="G5" s="55">
        <f>EDATE(F5,1)</f>
        <v/>
      </c>
      <c r="H5" s="55">
        <f>EDATE(G5,1)</f>
        <v/>
      </c>
      <c r="I5" s="55">
        <f>EDATE(H5,1)</f>
        <v/>
      </c>
      <c r="J5" s="55">
        <f>EDATE(I5,1)</f>
        <v/>
      </c>
      <c r="K5" s="55">
        <f>EDATE(J5,1)</f>
        <v/>
      </c>
      <c r="L5" s="55">
        <f>EDATE(K5,1)</f>
        <v/>
      </c>
      <c r="M5" s="55">
        <f>EDATE(L5,1)</f>
        <v/>
      </c>
      <c r="N5" s="55">
        <f>EDATE(M5,1)</f>
        <v/>
      </c>
      <c r="O5" s="55">
        <f>EDATE(N5,1)</f>
        <v/>
      </c>
      <c r="P5" s="55">
        <f>EDATE(O5,1)</f>
        <v/>
      </c>
      <c r="Q5" s="55">
        <f>EDATE(P5,1)</f>
        <v/>
      </c>
      <c r="R5" s="55">
        <f>EDATE(Q5,1)</f>
        <v/>
      </c>
      <c r="S5" s="55">
        <f>EDATE(R5,1)</f>
        <v/>
      </c>
      <c r="T5" s="55">
        <f>EDATE(S5,1)</f>
        <v/>
      </c>
      <c r="U5" s="55">
        <f>EDATE(T5,1)</f>
        <v/>
      </c>
      <c r="V5" s="55">
        <f>EDATE(U5,1)</f>
        <v/>
      </c>
      <c r="W5" s="55">
        <f>EDATE(V5,1)</f>
        <v/>
      </c>
      <c r="X5" s="55">
        <f>EDATE(W5,1)</f>
        <v/>
      </c>
      <c r="Y5" s="55">
        <f>EDATE(X5,1)</f>
        <v/>
      </c>
      <c r="Z5" s="55">
        <f>EDATE(Y5,1)</f>
        <v/>
      </c>
      <c r="AA5" s="55">
        <f>EDATE(Z5,1)</f>
        <v/>
      </c>
      <c r="AB5" s="55">
        <f>EDATE(AA5,1)</f>
        <v/>
      </c>
      <c r="AC5" s="55">
        <f>EDATE(AB5,1)</f>
        <v/>
      </c>
      <c r="AD5" s="55">
        <f>EDATE(AC5,1)</f>
        <v/>
      </c>
      <c r="AE5" s="55">
        <f>EDATE(AD5,1)</f>
        <v/>
      </c>
      <c r="AF5" s="55">
        <f>EDATE(AE5,1)</f>
        <v/>
      </c>
      <c r="AG5" s="55">
        <f>EDATE(AF5,1)</f>
        <v/>
      </c>
      <c r="AH5" s="55">
        <f>EDATE(AG5,1)</f>
        <v/>
      </c>
      <c r="AI5" s="55">
        <f>EDATE(AH5,1)</f>
        <v/>
      </c>
      <c r="AJ5" s="55">
        <f>EDATE(AI5,1)</f>
        <v/>
      </c>
      <c r="AK5" s="55">
        <f>EDATE(AJ5,1)</f>
        <v/>
      </c>
      <c r="AL5" s="55">
        <f>EDATE(AK5,1)</f>
        <v/>
      </c>
    </row>
    <row r="7">
      <c r="A7" s="31" t="inlineStr">
        <is>
          <t>ENTERPRISE SEGMENT  |  Enterprise tier, annual upfront billing</t>
        </is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  <c r="AB7" s="32" t="n"/>
      <c r="AC7" s="32" t="n"/>
      <c r="AD7" s="32" t="n"/>
      <c r="AE7" s="32" t="n"/>
      <c r="AF7" s="32" t="n"/>
      <c r="AG7" s="32" t="n"/>
      <c r="AH7" s="32" t="n"/>
      <c r="AI7" s="32" t="n"/>
      <c r="AJ7" s="32" t="n"/>
      <c r="AK7" s="32" t="n"/>
      <c r="AL7" s="32" t="n"/>
      <c r="AM7" s="32" t="n"/>
      <c r="AN7" s="32" t="n"/>
      <c r="AO7" s="32" t="n"/>
      <c r="AP7" s="32" t="n"/>
    </row>
    <row r="8">
      <c r="A8" s="33" t="inlineStr">
        <is>
          <t>Opening customers</t>
        </is>
      </c>
      <c r="B8" s="34" t="inlineStr">
        <is>
          <t>#</t>
        </is>
      </c>
      <c r="C8" s="56">
        <f>A_EntCust0</f>
        <v/>
      </c>
      <c r="D8" s="56">
        <f>C11</f>
        <v/>
      </c>
      <c r="E8" s="56">
        <f>D11</f>
        <v/>
      </c>
      <c r="F8" s="56">
        <f>E11</f>
        <v/>
      </c>
      <c r="G8" s="56">
        <f>F11</f>
        <v/>
      </c>
      <c r="H8" s="56">
        <f>G11</f>
        <v/>
      </c>
      <c r="I8" s="56">
        <f>H11</f>
        <v/>
      </c>
      <c r="J8" s="56">
        <f>I11</f>
        <v/>
      </c>
      <c r="K8" s="56">
        <f>J11</f>
        <v/>
      </c>
      <c r="L8" s="56">
        <f>K11</f>
        <v/>
      </c>
      <c r="M8" s="56">
        <f>L11</f>
        <v/>
      </c>
      <c r="N8" s="56">
        <f>M11</f>
        <v/>
      </c>
      <c r="O8" s="56">
        <f>N11</f>
        <v/>
      </c>
      <c r="P8" s="56">
        <f>O11</f>
        <v/>
      </c>
      <c r="Q8" s="56">
        <f>P11</f>
        <v/>
      </c>
      <c r="R8" s="56">
        <f>Q11</f>
        <v/>
      </c>
      <c r="S8" s="56">
        <f>R11</f>
        <v/>
      </c>
      <c r="T8" s="56">
        <f>S11</f>
        <v/>
      </c>
      <c r="U8" s="56">
        <f>T11</f>
        <v/>
      </c>
      <c r="V8" s="56">
        <f>U11</f>
        <v/>
      </c>
      <c r="W8" s="56">
        <f>V11</f>
        <v/>
      </c>
      <c r="X8" s="56">
        <f>W11</f>
        <v/>
      </c>
      <c r="Y8" s="56">
        <f>X11</f>
        <v/>
      </c>
      <c r="Z8" s="56">
        <f>Y11</f>
        <v/>
      </c>
      <c r="AA8" s="56">
        <f>Z11</f>
        <v/>
      </c>
      <c r="AB8" s="56">
        <f>AA11</f>
        <v/>
      </c>
      <c r="AC8" s="56">
        <f>AB11</f>
        <v/>
      </c>
      <c r="AD8" s="56">
        <f>AC11</f>
        <v/>
      </c>
      <c r="AE8" s="56">
        <f>AD11</f>
        <v/>
      </c>
      <c r="AF8" s="56">
        <f>AE11</f>
        <v/>
      </c>
      <c r="AG8" s="56">
        <f>AF11</f>
        <v/>
      </c>
      <c r="AH8" s="56">
        <f>AG11</f>
        <v/>
      </c>
      <c r="AI8" s="56">
        <f>AH11</f>
        <v/>
      </c>
      <c r="AJ8" s="56">
        <f>AI11</f>
        <v/>
      </c>
      <c r="AK8" s="56">
        <f>AJ11</f>
        <v/>
      </c>
      <c r="AL8" s="56">
        <f>AK11</f>
        <v/>
      </c>
    </row>
    <row r="9">
      <c r="A9" s="33" t="inlineStr">
        <is>
          <t>New customers</t>
        </is>
      </c>
      <c r="B9" s="34" t="inlineStr">
        <is>
          <t>#</t>
        </is>
      </c>
      <c r="C9" s="56">
        <f>L_NewEnt</f>
        <v/>
      </c>
      <c r="D9" s="56">
        <f>L_NewEnt</f>
        <v/>
      </c>
      <c r="E9" s="56">
        <f>L_NewEnt</f>
        <v/>
      </c>
      <c r="F9" s="56">
        <f>L_NewEnt</f>
        <v/>
      </c>
      <c r="G9" s="56">
        <f>L_NewEnt</f>
        <v/>
      </c>
      <c r="H9" s="56">
        <f>L_NewEnt</f>
        <v/>
      </c>
      <c r="I9" s="56">
        <f>L_NewEnt</f>
        <v/>
      </c>
      <c r="J9" s="56">
        <f>L_NewEnt</f>
        <v/>
      </c>
      <c r="K9" s="56">
        <f>L_NewEnt</f>
        <v/>
      </c>
      <c r="L9" s="56">
        <f>L_NewEnt</f>
        <v/>
      </c>
      <c r="M9" s="56">
        <f>L_NewEnt</f>
        <v/>
      </c>
      <c r="N9" s="56">
        <f>L_NewEnt</f>
        <v/>
      </c>
      <c r="O9" s="56">
        <f>L_NewEnt</f>
        <v/>
      </c>
      <c r="P9" s="56">
        <f>L_NewEnt</f>
        <v/>
      </c>
      <c r="Q9" s="56">
        <f>L_NewEnt</f>
        <v/>
      </c>
      <c r="R9" s="56">
        <f>L_NewEnt</f>
        <v/>
      </c>
      <c r="S9" s="56">
        <f>L_NewEnt</f>
        <v/>
      </c>
      <c r="T9" s="56">
        <f>L_NewEnt</f>
        <v/>
      </c>
      <c r="U9" s="56">
        <f>L_NewEnt</f>
        <v/>
      </c>
      <c r="V9" s="56">
        <f>L_NewEnt</f>
        <v/>
      </c>
      <c r="W9" s="56">
        <f>L_NewEnt</f>
        <v/>
      </c>
      <c r="X9" s="56">
        <f>L_NewEnt</f>
        <v/>
      </c>
      <c r="Y9" s="56">
        <f>L_NewEnt</f>
        <v/>
      </c>
      <c r="Z9" s="56">
        <f>L_NewEnt</f>
        <v/>
      </c>
      <c r="AA9" s="56">
        <f>L_NewEnt</f>
        <v/>
      </c>
      <c r="AB9" s="56">
        <f>L_NewEnt</f>
        <v/>
      </c>
      <c r="AC9" s="56">
        <f>L_NewEnt</f>
        <v/>
      </c>
      <c r="AD9" s="56">
        <f>L_NewEnt</f>
        <v/>
      </c>
      <c r="AE9" s="56">
        <f>L_NewEnt</f>
        <v/>
      </c>
      <c r="AF9" s="56">
        <f>L_NewEnt</f>
        <v/>
      </c>
      <c r="AG9" s="56">
        <f>L_NewEnt</f>
        <v/>
      </c>
      <c r="AH9" s="56">
        <f>L_NewEnt</f>
        <v/>
      </c>
      <c r="AI9" s="56">
        <f>L_NewEnt</f>
        <v/>
      </c>
      <c r="AJ9" s="56">
        <f>L_NewEnt</f>
        <v/>
      </c>
      <c r="AK9" s="56">
        <f>L_NewEnt</f>
        <v/>
      </c>
      <c r="AL9" s="56">
        <f>L_NewEnt</f>
        <v/>
      </c>
    </row>
    <row r="10">
      <c r="A10" s="33" t="inlineStr">
        <is>
          <t>Churned customers</t>
        </is>
      </c>
      <c r="B10" s="34" t="inlineStr">
        <is>
          <t>#</t>
        </is>
      </c>
      <c r="C10" s="56">
        <f>-C8*L_ChurnEnt</f>
        <v/>
      </c>
      <c r="D10" s="56">
        <f>-D8*L_ChurnEnt</f>
        <v/>
      </c>
      <c r="E10" s="56">
        <f>-E8*L_ChurnEnt</f>
        <v/>
      </c>
      <c r="F10" s="56">
        <f>-F8*L_ChurnEnt</f>
        <v/>
      </c>
      <c r="G10" s="56">
        <f>-G8*L_ChurnEnt</f>
        <v/>
      </c>
      <c r="H10" s="56">
        <f>-H8*L_ChurnEnt</f>
        <v/>
      </c>
      <c r="I10" s="56">
        <f>-I8*L_ChurnEnt</f>
        <v/>
      </c>
      <c r="J10" s="56">
        <f>-J8*L_ChurnEnt</f>
        <v/>
      </c>
      <c r="K10" s="56">
        <f>-K8*L_ChurnEnt</f>
        <v/>
      </c>
      <c r="L10" s="56">
        <f>-L8*L_ChurnEnt</f>
        <v/>
      </c>
      <c r="M10" s="56">
        <f>-M8*L_ChurnEnt</f>
        <v/>
      </c>
      <c r="N10" s="56">
        <f>-N8*L_ChurnEnt</f>
        <v/>
      </c>
      <c r="O10" s="56">
        <f>-O8*L_ChurnEnt</f>
        <v/>
      </c>
      <c r="P10" s="56">
        <f>-P8*L_ChurnEnt</f>
        <v/>
      </c>
      <c r="Q10" s="56">
        <f>-Q8*L_ChurnEnt</f>
        <v/>
      </c>
      <c r="R10" s="56">
        <f>-R8*L_ChurnEnt</f>
        <v/>
      </c>
      <c r="S10" s="56">
        <f>-S8*L_ChurnEnt</f>
        <v/>
      </c>
      <c r="T10" s="56">
        <f>-T8*L_ChurnEnt</f>
        <v/>
      </c>
      <c r="U10" s="56">
        <f>-U8*L_ChurnEnt</f>
        <v/>
      </c>
      <c r="V10" s="56">
        <f>-V8*L_ChurnEnt</f>
        <v/>
      </c>
      <c r="W10" s="56">
        <f>-W8*L_ChurnEnt</f>
        <v/>
      </c>
      <c r="X10" s="56">
        <f>-X8*L_ChurnEnt</f>
        <v/>
      </c>
      <c r="Y10" s="56">
        <f>-Y8*L_ChurnEnt</f>
        <v/>
      </c>
      <c r="Z10" s="56">
        <f>-Z8*L_ChurnEnt</f>
        <v/>
      </c>
      <c r="AA10" s="56">
        <f>-AA8*L_ChurnEnt</f>
        <v/>
      </c>
      <c r="AB10" s="56">
        <f>-AB8*L_ChurnEnt</f>
        <v/>
      </c>
      <c r="AC10" s="56">
        <f>-AC8*L_ChurnEnt</f>
        <v/>
      </c>
      <c r="AD10" s="56">
        <f>-AD8*L_ChurnEnt</f>
        <v/>
      </c>
      <c r="AE10" s="56">
        <f>-AE8*L_ChurnEnt</f>
        <v/>
      </c>
      <c r="AF10" s="56">
        <f>-AF8*L_ChurnEnt</f>
        <v/>
      </c>
      <c r="AG10" s="56">
        <f>-AG8*L_ChurnEnt</f>
        <v/>
      </c>
      <c r="AH10" s="56">
        <f>-AH8*L_ChurnEnt</f>
        <v/>
      </c>
      <c r="AI10" s="56">
        <f>-AI8*L_ChurnEnt</f>
        <v/>
      </c>
      <c r="AJ10" s="56">
        <f>-AJ8*L_ChurnEnt</f>
        <v/>
      </c>
      <c r="AK10" s="56">
        <f>-AK8*L_ChurnEnt</f>
        <v/>
      </c>
      <c r="AL10" s="56">
        <f>-AL8*L_ChurnEnt</f>
        <v/>
      </c>
    </row>
    <row r="11">
      <c r="A11" s="33" t="inlineStr">
        <is>
          <t>Closing customers</t>
        </is>
      </c>
      <c r="B11" s="34" t="inlineStr">
        <is>
          <t>#</t>
        </is>
      </c>
      <c r="C11" s="57">
        <f>C8+C9+C10</f>
        <v/>
      </c>
      <c r="D11" s="57">
        <f>D8+D9+D10</f>
        <v/>
      </c>
      <c r="E11" s="57">
        <f>E8+E9+E10</f>
        <v/>
      </c>
      <c r="F11" s="57">
        <f>F8+F9+F10</f>
        <v/>
      </c>
      <c r="G11" s="57">
        <f>G8+G9+G10</f>
        <v/>
      </c>
      <c r="H11" s="57">
        <f>H8+H9+H10</f>
        <v/>
      </c>
      <c r="I11" s="57">
        <f>I8+I9+I10</f>
        <v/>
      </c>
      <c r="J11" s="57">
        <f>J8+J9+J10</f>
        <v/>
      </c>
      <c r="K11" s="57">
        <f>K8+K9+K10</f>
        <v/>
      </c>
      <c r="L11" s="57">
        <f>L8+L9+L10</f>
        <v/>
      </c>
      <c r="M11" s="57">
        <f>M8+M9+M10</f>
        <v/>
      </c>
      <c r="N11" s="57">
        <f>N8+N9+N10</f>
        <v/>
      </c>
      <c r="O11" s="57">
        <f>O8+O9+O10</f>
        <v/>
      </c>
      <c r="P11" s="57">
        <f>P8+P9+P10</f>
        <v/>
      </c>
      <c r="Q11" s="57">
        <f>Q8+Q9+Q10</f>
        <v/>
      </c>
      <c r="R11" s="57">
        <f>R8+R9+R10</f>
        <v/>
      </c>
      <c r="S11" s="57">
        <f>S8+S9+S10</f>
        <v/>
      </c>
      <c r="T11" s="57">
        <f>T8+T9+T10</f>
        <v/>
      </c>
      <c r="U11" s="57">
        <f>U8+U9+U10</f>
        <v/>
      </c>
      <c r="V11" s="57">
        <f>V8+V9+V10</f>
        <v/>
      </c>
      <c r="W11" s="57">
        <f>W8+W9+W10</f>
        <v/>
      </c>
      <c r="X11" s="57">
        <f>X8+X9+X10</f>
        <v/>
      </c>
      <c r="Y11" s="57">
        <f>Y8+Y9+Y10</f>
        <v/>
      </c>
      <c r="Z11" s="57">
        <f>Z8+Z9+Z10</f>
        <v/>
      </c>
      <c r="AA11" s="57">
        <f>AA8+AA9+AA10</f>
        <v/>
      </c>
      <c r="AB11" s="57">
        <f>AB8+AB9+AB10</f>
        <v/>
      </c>
      <c r="AC11" s="57">
        <f>AC8+AC9+AC10</f>
        <v/>
      </c>
      <c r="AD11" s="57">
        <f>AD8+AD9+AD10</f>
        <v/>
      </c>
      <c r="AE11" s="57">
        <f>AE8+AE9+AE10</f>
        <v/>
      </c>
      <c r="AF11" s="57">
        <f>AF8+AF9+AF10</f>
        <v/>
      </c>
      <c r="AG11" s="57">
        <f>AG8+AG9+AG10</f>
        <v/>
      </c>
      <c r="AH11" s="57">
        <f>AH8+AH9+AH10</f>
        <v/>
      </c>
      <c r="AI11" s="57">
        <f>AI8+AI9+AI10</f>
        <v/>
      </c>
      <c r="AJ11" s="57">
        <f>AJ8+AJ9+AJ10</f>
        <v/>
      </c>
      <c r="AK11" s="57">
        <f>AK8+AK9+AK10</f>
        <v/>
      </c>
      <c r="AL11" s="57">
        <f>AL8+AL9+AL10</f>
        <v/>
      </c>
    </row>
    <row r="12">
      <c r="A12" s="33" t="inlineStr">
        <is>
          <t>ARPU</t>
        </is>
      </c>
      <c r="B12" s="34" t="inlineStr">
        <is>
          <t>$/mo</t>
        </is>
      </c>
      <c r="C12" s="58">
        <f>A_EntARPU0</f>
        <v/>
      </c>
      <c r="D12" s="58">
        <f>C12*(1+L_Price)^(1/12)</f>
        <v/>
      </c>
      <c r="E12" s="58">
        <f>D12*(1+L_Price)^(1/12)</f>
        <v/>
      </c>
      <c r="F12" s="58">
        <f>E12*(1+L_Price)^(1/12)</f>
        <v/>
      </c>
      <c r="G12" s="58">
        <f>F12*(1+L_Price)^(1/12)</f>
        <v/>
      </c>
      <c r="H12" s="58">
        <f>G12*(1+L_Price)^(1/12)</f>
        <v/>
      </c>
      <c r="I12" s="58">
        <f>H12*(1+L_Price)^(1/12)</f>
        <v/>
      </c>
      <c r="J12" s="58">
        <f>I12*(1+L_Price)^(1/12)</f>
        <v/>
      </c>
      <c r="K12" s="58">
        <f>J12*(1+L_Price)^(1/12)</f>
        <v/>
      </c>
      <c r="L12" s="58">
        <f>K12*(1+L_Price)^(1/12)</f>
        <v/>
      </c>
      <c r="M12" s="58">
        <f>L12*(1+L_Price)^(1/12)</f>
        <v/>
      </c>
      <c r="N12" s="58">
        <f>M12*(1+L_Price)^(1/12)</f>
        <v/>
      </c>
      <c r="O12" s="58">
        <f>N12*(1+L_Price)^(1/12)</f>
        <v/>
      </c>
      <c r="P12" s="58">
        <f>O12*(1+L_Price)^(1/12)</f>
        <v/>
      </c>
      <c r="Q12" s="58">
        <f>P12*(1+L_Price)^(1/12)</f>
        <v/>
      </c>
      <c r="R12" s="58">
        <f>Q12*(1+L_Price)^(1/12)</f>
        <v/>
      </c>
      <c r="S12" s="58">
        <f>R12*(1+L_Price)^(1/12)</f>
        <v/>
      </c>
      <c r="T12" s="58">
        <f>S12*(1+L_Price)^(1/12)</f>
        <v/>
      </c>
      <c r="U12" s="58">
        <f>T12*(1+L_Price)^(1/12)</f>
        <v/>
      </c>
      <c r="V12" s="58">
        <f>U12*(1+L_Price)^(1/12)</f>
        <v/>
      </c>
      <c r="W12" s="58">
        <f>V12*(1+L_Price)^(1/12)</f>
        <v/>
      </c>
      <c r="X12" s="58">
        <f>W12*(1+L_Price)^(1/12)</f>
        <v/>
      </c>
      <c r="Y12" s="58">
        <f>X12*(1+L_Price)^(1/12)</f>
        <v/>
      </c>
      <c r="Z12" s="58">
        <f>Y12*(1+L_Price)^(1/12)</f>
        <v/>
      </c>
      <c r="AA12" s="58">
        <f>Z12*(1+L_Price)^(1/12)</f>
        <v/>
      </c>
      <c r="AB12" s="58">
        <f>AA12*(1+L_Price)^(1/12)</f>
        <v/>
      </c>
      <c r="AC12" s="58">
        <f>AB12*(1+L_Price)^(1/12)</f>
        <v/>
      </c>
      <c r="AD12" s="58">
        <f>AC12*(1+L_Price)^(1/12)</f>
        <v/>
      </c>
      <c r="AE12" s="58">
        <f>AD12*(1+L_Price)^(1/12)</f>
        <v/>
      </c>
      <c r="AF12" s="58">
        <f>AE12*(1+L_Price)^(1/12)</f>
        <v/>
      </c>
      <c r="AG12" s="58">
        <f>AF12*(1+L_Price)^(1/12)</f>
        <v/>
      </c>
      <c r="AH12" s="58">
        <f>AG12*(1+L_Price)^(1/12)</f>
        <v/>
      </c>
      <c r="AI12" s="58">
        <f>AH12*(1+L_Price)^(1/12)</f>
        <v/>
      </c>
      <c r="AJ12" s="58">
        <f>AI12*(1+L_Price)^(1/12)</f>
        <v/>
      </c>
      <c r="AK12" s="58">
        <f>AJ12*(1+L_Price)^(1/12)</f>
        <v/>
      </c>
      <c r="AL12" s="58">
        <f>AK12*(1+L_Price)^(1/12)</f>
        <v/>
      </c>
    </row>
    <row r="14">
      <c r="A14" s="33" t="inlineStr">
        <is>
          <t>Opening MRR</t>
        </is>
      </c>
      <c r="B14" s="34" t="inlineStr">
        <is>
          <t>$</t>
        </is>
      </c>
      <c r="C14" s="58">
        <f>A_EntCust0*A_EntARPU0</f>
        <v/>
      </c>
      <c r="D14" s="58">
        <f>C18</f>
        <v/>
      </c>
      <c r="E14" s="58">
        <f>D18</f>
        <v/>
      </c>
      <c r="F14" s="58">
        <f>E18</f>
        <v/>
      </c>
      <c r="G14" s="58">
        <f>F18</f>
        <v/>
      </c>
      <c r="H14" s="58">
        <f>G18</f>
        <v/>
      </c>
      <c r="I14" s="58">
        <f>H18</f>
        <v/>
      </c>
      <c r="J14" s="58">
        <f>I18</f>
        <v/>
      </c>
      <c r="K14" s="58">
        <f>J18</f>
        <v/>
      </c>
      <c r="L14" s="58">
        <f>K18</f>
        <v/>
      </c>
      <c r="M14" s="58">
        <f>L18</f>
        <v/>
      </c>
      <c r="N14" s="58">
        <f>M18</f>
        <v/>
      </c>
      <c r="O14" s="58">
        <f>N18</f>
        <v/>
      </c>
      <c r="P14" s="58">
        <f>O18</f>
        <v/>
      </c>
      <c r="Q14" s="58">
        <f>P18</f>
        <v/>
      </c>
      <c r="R14" s="58">
        <f>Q18</f>
        <v/>
      </c>
      <c r="S14" s="58">
        <f>R18</f>
        <v/>
      </c>
      <c r="T14" s="58">
        <f>S18</f>
        <v/>
      </c>
      <c r="U14" s="58">
        <f>T18</f>
        <v/>
      </c>
      <c r="V14" s="58">
        <f>U18</f>
        <v/>
      </c>
      <c r="W14" s="58">
        <f>V18</f>
        <v/>
      </c>
      <c r="X14" s="58">
        <f>W18</f>
        <v/>
      </c>
      <c r="Y14" s="58">
        <f>X18</f>
        <v/>
      </c>
      <c r="Z14" s="58">
        <f>Y18</f>
        <v/>
      </c>
      <c r="AA14" s="58">
        <f>Z18</f>
        <v/>
      </c>
      <c r="AB14" s="58">
        <f>AA18</f>
        <v/>
      </c>
      <c r="AC14" s="58">
        <f>AB18</f>
        <v/>
      </c>
      <c r="AD14" s="58">
        <f>AC18</f>
        <v/>
      </c>
      <c r="AE14" s="58">
        <f>AD18</f>
        <v/>
      </c>
      <c r="AF14" s="58">
        <f>AE18</f>
        <v/>
      </c>
      <c r="AG14" s="58">
        <f>AF18</f>
        <v/>
      </c>
      <c r="AH14" s="58">
        <f>AG18</f>
        <v/>
      </c>
      <c r="AI14" s="58">
        <f>AH18</f>
        <v/>
      </c>
      <c r="AJ14" s="58">
        <f>AI18</f>
        <v/>
      </c>
      <c r="AK14" s="58">
        <f>AJ18</f>
        <v/>
      </c>
      <c r="AL14" s="58">
        <f>AK18</f>
        <v/>
      </c>
    </row>
    <row r="15">
      <c r="A15" s="33" t="inlineStr">
        <is>
          <t>New business MRR</t>
        </is>
      </c>
      <c r="B15" s="34" t="inlineStr">
        <is>
          <t>$</t>
        </is>
      </c>
      <c r="C15" s="58">
        <f>C9*C12</f>
        <v/>
      </c>
      <c r="D15" s="58">
        <f>D9*D12</f>
        <v/>
      </c>
      <c r="E15" s="58">
        <f>E9*E12</f>
        <v/>
      </c>
      <c r="F15" s="58">
        <f>F9*F12</f>
        <v/>
      </c>
      <c r="G15" s="58">
        <f>G9*G12</f>
        <v/>
      </c>
      <c r="H15" s="58">
        <f>H9*H12</f>
        <v/>
      </c>
      <c r="I15" s="58">
        <f>I9*I12</f>
        <v/>
      </c>
      <c r="J15" s="58">
        <f>J9*J12</f>
        <v/>
      </c>
      <c r="K15" s="58">
        <f>K9*K12</f>
        <v/>
      </c>
      <c r="L15" s="58">
        <f>L9*L12</f>
        <v/>
      </c>
      <c r="M15" s="58">
        <f>M9*M12</f>
        <v/>
      </c>
      <c r="N15" s="58">
        <f>N9*N12</f>
        <v/>
      </c>
      <c r="O15" s="58">
        <f>O9*O12</f>
        <v/>
      </c>
      <c r="P15" s="58">
        <f>P9*P12</f>
        <v/>
      </c>
      <c r="Q15" s="58">
        <f>Q9*Q12</f>
        <v/>
      </c>
      <c r="R15" s="58">
        <f>R9*R12</f>
        <v/>
      </c>
      <c r="S15" s="58">
        <f>S9*S12</f>
        <v/>
      </c>
      <c r="T15" s="58">
        <f>T9*T12</f>
        <v/>
      </c>
      <c r="U15" s="58">
        <f>U9*U12</f>
        <v/>
      </c>
      <c r="V15" s="58">
        <f>V9*V12</f>
        <v/>
      </c>
      <c r="W15" s="58">
        <f>W9*W12</f>
        <v/>
      </c>
      <c r="X15" s="58">
        <f>X9*X12</f>
        <v/>
      </c>
      <c r="Y15" s="58">
        <f>Y9*Y12</f>
        <v/>
      </c>
      <c r="Z15" s="58">
        <f>Z9*Z12</f>
        <v/>
      </c>
      <c r="AA15" s="58">
        <f>AA9*AA12</f>
        <v/>
      </c>
      <c r="AB15" s="58">
        <f>AB9*AB12</f>
        <v/>
      </c>
      <c r="AC15" s="58">
        <f>AC9*AC12</f>
        <v/>
      </c>
      <c r="AD15" s="58">
        <f>AD9*AD12</f>
        <v/>
      </c>
      <c r="AE15" s="58">
        <f>AE9*AE12</f>
        <v/>
      </c>
      <c r="AF15" s="58">
        <f>AF9*AF12</f>
        <v/>
      </c>
      <c r="AG15" s="58">
        <f>AG9*AG12</f>
        <v/>
      </c>
      <c r="AH15" s="58">
        <f>AH9*AH12</f>
        <v/>
      </c>
      <c r="AI15" s="58">
        <f>AI9*AI12</f>
        <v/>
      </c>
      <c r="AJ15" s="58">
        <f>AJ9*AJ12</f>
        <v/>
      </c>
      <c r="AK15" s="58">
        <f>AK9*AK12</f>
        <v/>
      </c>
      <c r="AL15" s="58">
        <f>AL9*AL12</f>
        <v/>
      </c>
    </row>
    <row r="16">
      <c r="A16" s="33" t="inlineStr">
        <is>
          <t>Expansion MRR</t>
        </is>
      </c>
      <c r="B16" s="34" t="inlineStr">
        <is>
          <t>$</t>
        </is>
      </c>
      <c r="C16" s="58">
        <f>C14*L_ExpEnt</f>
        <v/>
      </c>
      <c r="D16" s="58">
        <f>D14*L_ExpEnt</f>
        <v/>
      </c>
      <c r="E16" s="58">
        <f>E14*L_ExpEnt</f>
        <v/>
      </c>
      <c r="F16" s="58">
        <f>F14*L_ExpEnt</f>
        <v/>
      </c>
      <c r="G16" s="58">
        <f>G14*L_ExpEnt</f>
        <v/>
      </c>
      <c r="H16" s="58">
        <f>H14*L_ExpEnt</f>
        <v/>
      </c>
      <c r="I16" s="58">
        <f>I14*L_ExpEnt</f>
        <v/>
      </c>
      <c r="J16" s="58">
        <f>J14*L_ExpEnt</f>
        <v/>
      </c>
      <c r="K16" s="58">
        <f>K14*L_ExpEnt</f>
        <v/>
      </c>
      <c r="L16" s="58">
        <f>L14*L_ExpEnt</f>
        <v/>
      </c>
      <c r="M16" s="58">
        <f>M14*L_ExpEnt</f>
        <v/>
      </c>
      <c r="N16" s="58">
        <f>N14*L_ExpEnt</f>
        <v/>
      </c>
      <c r="O16" s="58">
        <f>O14*L_ExpEnt</f>
        <v/>
      </c>
      <c r="P16" s="58">
        <f>P14*L_ExpEnt</f>
        <v/>
      </c>
      <c r="Q16" s="58">
        <f>Q14*L_ExpEnt</f>
        <v/>
      </c>
      <c r="R16" s="58">
        <f>R14*L_ExpEnt</f>
        <v/>
      </c>
      <c r="S16" s="58">
        <f>S14*L_ExpEnt</f>
        <v/>
      </c>
      <c r="T16" s="58">
        <f>T14*L_ExpEnt</f>
        <v/>
      </c>
      <c r="U16" s="58">
        <f>U14*L_ExpEnt</f>
        <v/>
      </c>
      <c r="V16" s="58">
        <f>V14*L_ExpEnt</f>
        <v/>
      </c>
      <c r="W16" s="58">
        <f>W14*L_ExpEnt</f>
        <v/>
      </c>
      <c r="X16" s="58">
        <f>X14*L_ExpEnt</f>
        <v/>
      </c>
      <c r="Y16" s="58">
        <f>Y14*L_ExpEnt</f>
        <v/>
      </c>
      <c r="Z16" s="58">
        <f>Z14*L_ExpEnt</f>
        <v/>
      </c>
      <c r="AA16" s="58">
        <f>AA14*L_ExpEnt</f>
        <v/>
      </c>
      <c r="AB16" s="58">
        <f>AB14*L_ExpEnt</f>
        <v/>
      </c>
      <c r="AC16" s="58">
        <f>AC14*L_ExpEnt</f>
        <v/>
      </c>
      <c r="AD16" s="58">
        <f>AD14*L_ExpEnt</f>
        <v/>
      </c>
      <c r="AE16" s="58">
        <f>AE14*L_ExpEnt</f>
        <v/>
      </c>
      <c r="AF16" s="58">
        <f>AF14*L_ExpEnt</f>
        <v/>
      </c>
      <c r="AG16" s="58">
        <f>AG14*L_ExpEnt</f>
        <v/>
      </c>
      <c r="AH16" s="58">
        <f>AH14*L_ExpEnt</f>
        <v/>
      </c>
      <c r="AI16" s="58">
        <f>AI14*L_ExpEnt</f>
        <v/>
      </c>
      <c r="AJ16" s="58">
        <f>AJ14*L_ExpEnt</f>
        <v/>
      </c>
      <c r="AK16" s="58">
        <f>AK14*L_ExpEnt</f>
        <v/>
      </c>
      <c r="AL16" s="58">
        <f>AL14*L_ExpEnt</f>
        <v/>
      </c>
    </row>
    <row r="17">
      <c r="A17" s="33" t="inlineStr">
        <is>
          <t>Churned MRR</t>
        </is>
      </c>
      <c r="B17" s="34" t="inlineStr">
        <is>
          <t>$</t>
        </is>
      </c>
      <c r="C17" s="58">
        <f>-C14*L_ChurnEnt</f>
        <v/>
      </c>
      <c r="D17" s="58">
        <f>-D14*L_ChurnEnt</f>
        <v/>
      </c>
      <c r="E17" s="58">
        <f>-E14*L_ChurnEnt</f>
        <v/>
      </c>
      <c r="F17" s="58">
        <f>-F14*L_ChurnEnt</f>
        <v/>
      </c>
      <c r="G17" s="58">
        <f>-G14*L_ChurnEnt</f>
        <v/>
      </c>
      <c r="H17" s="58">
        <f>-H14*L_ChurnEnt</f>
        <v/>
      </c>
      <c r="I17" s="58">
        <f>-I14*L_ChurnEnt</f>
        <v/>
      </c>
      <c r="J17" s="58">
        <f>-J14*L_ChurnEnt</f>
        <v/>
      </c>
      <c r="K17" s="58">
        <f>-K14*L_ChurnEnt</f>
        <v/>
      </c>
      <c r="L17" s="58">
        <f>-L14*L_ChurnEnt</f>
        <v/>
      </c>
      <c r="M17" s="58">
        <f>-M14*L_ChurnEnt</f>
        <v/>
      </c>
      <c r="N17" s="58">
        <f>-N14*L_ChurnEnt</f>
        <v/>
      </c>
      <c r="O17" s="58">
        <f>-O14*L_ChurnEnt</f>
        <v/>
      </c>
      <c r="P17" s="58">
        <f>-P14*L_ChurnEnt</f>
        <v/>
      </c>
      <c r="Q17" s="58">
        <f>-Q14*L_ChurnEnt</f>
        <v/>
      </c>
      <c r="R17" s="58">
        <f>-R14*L_ChurnEnt</f>
        <v/>
      </c>
      <c r="S17" s="58">
        <f>-S14*L_ChurnEnt</f>
        <v/>
      </c>
      <c r="T17" s="58">
        <f>-T14*L_ChurnEnt</f>
        <v/>
      </c>
      <c r="U17" s="58">
        <f>-U14*L_ChurnEnt</f>
        <v/>
      </c>
      <c r="V17" s="58">
        <f>-V14*L_ChurnEnt</f>
        <v/>
      </c>
      <c r="W17" s="58">
        <f>-W14*L_ChurnEnt</f>
        <v/>
      </c>
      <c r="X17" s="58">
        <f>-X14*L_ChurnEnt</f>
        <v/>
      </c>
      <c r="Y17" s="58">
        <f>-Y14*L_ChurnEnt</f>
        <v/>
      </c>
      <c r="Z17" s="58">
        <f>-Z14*L_ChurnEnt</f>
        <v/>
      </c>
      <c r="AA17" s="58">
        <f>-AA14*L_ChurnEnt</f>
        <v/>
      </c>
      <c r="AB17" s="58">
        <f>-AB14*L_ChurnEnt</f>
        <v/>
      </c>
      <c r="AC17" s="58">
        <f>-AC14*L_ChurnEnt</f>
        <v/>
      </c>
      <c r="AD17" s="58">
        <f>-AD14*L_ChurnEnt</f>
        <v/>
      </c>
      <c r="AE17" s="58">
        <f>-AE14*L_ChurnEnt</f>
        <v/>
      </c>
      <c r="AF17" s="58">
        <f>-AF14*L_ChurnEnt</f>
        <v/>
      </c>
      <c r="AG17" s="58">
        <f>-AG14*L_ChurnEnt</f>
        <v/>
      </c>
      <c r="AH17" s="58">
        <f>-AH14*L_ChurnEnt</f>
        <v/>
      </c>
      <c r="AI17" s="58">
        <f>-AI14*L_ChurnEnt</f>
        <v/>
      </c>
      <c r="AJ17" s="58">
        <f>-AJ14*L_ChurnEnt</f>
        <v/>
      </c>
      <c r="AK17" s="58">
        <f>-AK14*L_ChurnEnt</f>
        <v/>
      </c>
      <c r="AL17" s="58">
        <f>-AL14*L_ChurnEnt</f>
        <v/>
      </c>
    </row>
    <row r="18">
      <c r="A18" s="59" t="inlineStr">
        <is>
          <t>Closing MRR</t>
        </is>
      </c>
      <c r="B18" s="60" t="inlineStr">
        <is>
          <t>$</t>
        </is>
      </c>
      <c r="C18" s="61">
        <f>C14+C15+C16+C17</f>
        <v/>
      </c>
      <c r="D18" s="61">
        <f>D14+D15+D16+D17</f>
        <v/>
      </c>
      <c r="E18" s="61">
        <f>E14+E15+E16+E17</f>
        <v/>
      </c>
      <c r="F18" s="61">
        <f>F14+F15+F16+F17</f>
        <v/>
      </c>
      <c r="G18" s="61">
        <f>G14+G15+G16+G17</f>
        <v/>
      </c>
      <c r="H18" s="61">
        <f>H14+H15+H16+H17</f>
        <v/>
      </c>
      <c r="I18" s="61">
        <f>I14+I15+I16+I17</f>
        <v/>
      </c>
      <c r="J18" s="61">
        <f>J14+J15+J16+J17</f>
        <v/>
      </c>
      <c r="K18" s="61">
        <f>K14+K15+K16+K17</f>
        <v/>
      </c>
      <c r="L18" s="61">
        <f>L14+L15+L16+L17</f>
        <v/>
      </c>
      <c r="M18" s="61">
        <f>M14+M15+M16+M17</f>
        <v/>
      </c>
      <c r="N18" s="61">
        <f>N14+N15+N16+N17</f>
        <v/>
      </c>
      <c r="O18" s="61">
        <f>O14+O15+O16+O17</f>
        <v/>
      </c>
      <c r="P18" s="61">
        <f>P14+P15+P16+P17</f>
        <v/>
      </c>
      <c r="Q18" s="61">
        <f>Q14+Q15+Q16+Q17</f>
        <v/>
      </c>
      <c r="R18" s="61">
        <f>R14+R15+R16+R17</f>
        <v/>
      </c>
      <c r="S18" s="61">
        <f>S14+S15+S16+S17</f>
        <v/>
      </c>
      <c r="T18" s="61">
        <f>T14+T15+T16+T17</f>
        <v/>
      </c>
      <c r="U18" s="61">
        <f>U14+U15+U16+U17</f>
        <v/>
      </c>
      <c r="V18" s="61">
        <f>V14+V15+V16+V17</f>
        <v/>
      </c>
      <c r="W18" s="61">
        <f>W14+W15+W16+W17</f>
        <v/>
      </c>
      <c r="X18" s="61">
        <f>X14+X15+X16+X17</f>
        <v/>
      </c>
      <c r="Y18" s="61">
        <f>Y14+Y15+Y16+Y17</f>
        <v/>
      </c>
      <c r="Z18" s="61">
        <f>Z14+Z15+Z16+Z17</f>
        <v/>
      </c>
      <c r="AA18" s="61">
        <f>AA14+AA15+AA16+AA17</f>
        <v/>
      </c>
      <c r="AB18" s="61">
        <f>AB14+AB15+AB16+AB17</f>
        <v/>
      </c>
      <c r="AC18" s="61">
        <f>AC14+AC15+AC16+AC17</f>
        <v/>
      </c>
      <c r="AD18" s="61">
        <f>AD14+AD15+AD16+AD17</f>
        <v/>
      </c>
      <c r="AE18" s="61">
        <f>AE14+AE15+AE16+AE17</f>
        <v/>
      </c>
      <c r="AF18" s="61">
        <f>AF14+AF15+AF16+AF17</f>
        <v/>
      </c>
      <c r="AG18" s="61">
        <f>AG14+AG15+AG16+AG17</f>
        <v/>
      </c>
      <c r="AH18" s="61">
        <f>AH14+AH15+AH16+AH17</f>
        <v/>
      </c>
      <c r="AI18" s="61">
        <f>AI14+AI15+AI16+AI17</f>
        <v/>
      </c>
      <c r="AJ18" s="61">
        <f>AJ14+AJ15+AJ16+AJ17</f>
        <v/>
      </c>
      <c r="AK18" s="61">
        <f>AK14+AK15+AK16+AK17</f>
        <v/>
      </c>
      <c r="AL18" s="61">
        <f>AL14+AL15+AL16+AL17</f>
        <v/>
      </c>
    </row>
    <row r="20">
      <c r="A20" s="31" t="inlineStr">
        <is>
          <t>MID-MARKET SEGMENT  |  Professional tier, monthly billing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2" t="n"/>
      <c r="Y20" s="32" t="n"/>
      <c r="Z20" s="32" t="n"/>
      <c r="AA20" s="32" t="n"/>
      <c r="AB20" s="32" t="n"/>
      <c r="AC20" s="32" t="n"/>
      <c r="AD20" s="32" t="n"/>
      <c r="AE20" s="32" t="n"/>
      <c r="AF20" s="32" t="n"/>
      <c r="AG20" s="32" t="n"/>
      <c r="AH20" s="32" t="n"/>
      <c r="AI20" s="32" t="n"/>
      <c r="AJ20" s="32" t="n"/>
      <c r="AK20" s="32" t="n"/>
      <c r="AL20" s="32" t="n"/>
      <c r="AM20" s="32" t="n"/>
      <c r="AN20" s="32" t="n"/>
      <c r="AO20" s="32" t="n"/>
      <c r="AP20" s="32" t="n"/>
    </row>
    <row r="21">
      <c r="A21" s="33" t="inlineStr">
        <is>
          <t>Opening customers</t>
        </is>
      </c>
      <c r="B21" s="34" t="inlineStr">
        <is>
          <t>#</t>
        </is>
      </c>
      <c r="C21" s="56">
        <f>A_MMCust0</f>
        <v/>
      </c>
      <c r="D21" s="56">
        <f>C24</f>
        <v/>
      </c>
      <c r="E21" s="56">
        <f>D24</f>
        <v/>
      </c>
      <c r="F21" s="56">
        <f>E24</f>
        <v/>
      </c>
      <c r="G21" s="56">
        <f>F24</f>
        <v/>
      </c>
      <c r="H21" s="56">
        <f>G24</f>
        <v/>
      </c>
      <c r="I21" s="56">
        <f>H24</f>
        <v/>
      </c>
      <c r="J21" s="56">
        <f>I24</f>
        <v/>
      </c>
      <c r="K21" s="56">
        <f>J24</f>
        <v/>
      </c>
      <c r="L21" s="56">
        <f>K24</f>
        <v/>
      </c>
      <c r="M21" s="56">
        <f>L24</f>
        <v/>
      </c>
      <c r="N21" s="56">
        <f>M24</f>
        <v/>
      </c>
      <c r="O21" s="56">
        <f>N24</f>
        <v/>
      </c>
      <c r="P21" s="56">
        <f>O24</f>
        <v/>
      </c>
      <c r="Q21" s="56">
        <f>P24</f>
        <v/>
      </c>
      <c r="R21" s="56">
        <f>Q24</f>
        <v/>
      </c>
      <c r="S21" s="56">
        <f>R24</f>
        <v/>
      </c>
      <c r="T21" s="56">
        <f>S24</f>
        <v/>
      </c>
      <c r="U21" s="56">
        <f>T24</f>
        <v/>
      </c>
      <c r="V21" s="56">
        <f>U24</f>
        <v/>
      </c>
      <c r="W21" s="56">
        <f>V24</f>
        <v/>
      </c>
      <c r="X21" s="56">
        <f>W24</f>
        <v/>
      </c>
      <c r="Y21" s="56">
        <f>X24</f>
        <v/>
      </c>
      <c r="Z21" s="56">
        <f>Y24</f>
        <v/>
      </c>
      <c r="AA21" s="56">
        <f>Z24</f>
        <v/>
      </c>
      <c r="AB21" s="56">
        <f>AA24</f>
        <v/>
      </c>
      <c r="AC21" s="56">
        <f>AB24</f>
        <v/>
      </c>
      <c r="AD21" s="56">
        <f>AC24</f>
        <v/>
      </c>
      <c r="AE21" s="56">
        <f>AD24</f>
        <v/>
      </c>
      <c r="AF21" s="56">
        <f>AE24</f>
        <v/>
      </c>
      <c r="AG21" s="56">
        <f>AF24</f>
        <v/>
      </c>
      <c r="AH21" s="56">
        <f>AG24</f>
        <v/>
      </c>
      <c r="AI21" s="56">
        <f>AH24</f>
        <v/>
      </c>
      <c r="AJ21" s="56">
        <f>AI24</f>
        <v/>
      </c>
      <c r="AK21" s="56">
        <f>AJ24</f>
        <v/>
      </c>
      <c r="AL21" s="56">
        <f>AK24</f>
        <v/>
      </c>
    </row>
    <row r="22">
      <c r="A22" s="33" t="inlineStr">
        <is>
          <t>New customers</t>
        </is>
      </c>
      <c r="B22" s="34" t="inlineStr">
        <is>
          <t>#</t>
        </is>
      </c>
      <c r="C22" s="56">
        <f>L_NewMM</f>
        <v/>
      </c>
      <c r="D22" s="56">
        <f>L_NewMM</f>
        <v/>
      </c>
      <c r="E22" s="56">
        <f>L_NewMM</f>
        <v/>
      </c>
      <c r="F22" s="56">
        <f>L_NewMM</f>
        <v/>
      </c>
      <c r="G22" s="56">
        <f>L_NewMM</f>
        <v/>
      </c>
      <c r="H22" s="56">
        <f>L_NewMM</f>
        <v/>
      </c>
      <c r="I22" s="56">
        <f>L_NewMM</f>
        <v/>
      </c>
      <c r="J22" s="56">
        <f>L_NewMM</f>
        <v/>
      </c>
      <c r="K22" s="56">
        <f>L_NewMM</f>
        <v/>
      </c>
      <c r="L22" s="56">
        <f>L_NewMM</f>
        <v/>
      </c>
      <c r="M22" s="56">
        <f>L_NewMM</f>
        <v/>
      </c>
      <c r="N22" s="56">
        <f>L_NewMM</f>
        <v/>
      </c>
      <c r="O22" s="56">
        <f>L_NewMM</f>
        <v/>
      </c>
      <c r="P22" s="56">
        <f>L_NewMM</f>
        <v/>
      </c>
      <c r="Q22" s="56">
        <f>L_NewMM</f>
        <v/>
      </c>
      <c r="R22" s="56">
        <f>L_NewMM</f>
        <v/>
      </c>
      <c r="S22" s="56">
        <f>L_NewMM</f>
        <v/>
      </c>
      <c r="T22" s="56">
        <f>L_NewMM</f>
        <v/>
      </c>
      <c r="U22" s="56">
        <f>L_NewMM</f>
        <v/>
      </c>
      <c r="V22" s="56">
        <f>L_NewMM</f>
        <v/>
      </c>
      <c r="W22" s="56">
        <f>L_NewMM</f>
        <v/>
      </c>
      <c r="X22" s="56">
        <f>L_NewMM</f>
        <v/>
      </c>
      <c r="Y22" s="56">
        <f>L_NewMM</f>
        <v/>
      </c>
      <c r="Z22" s="56">
        <f>L_NewMM</f>
        <v/>
      </c>
      <c r="AA22" s="56">
        <f>L_NewMM</f>
        <v/>
      </c>
      <c r="AB22" s="56">
        <f>L_NewMM</f>
        <v/>
      </c>
      <c r="AC22" s="56">
        <f>L_NewMM</f>
        <v/>
      </c>
      <c r="AD22" s="56">
        <f>L_NewMM</f>
        <v/>
      </c>
      <c r="AE22" s="56">
        <f>L_NewMM</f>
        <v/>
      </c>
      <c r="AF22" s="56">
        <f>L_NewMM</f>
        <v/>
      </c>
      <c r="AG22" s="56">
        <f>L_NewMM</f>
        <v/>
      </c>
      <c r="AH22" s="56">
        <f>L_NewMM</f>
        <v/>
      </c>
      <c r="AI22" s="56">
        <f>L_NewMM</f>
        <v/>
      </c>
      <c r="AJ22" s="56">
        <f>L_NewMM</f>
        <v/>
      </c>
      <c r="AK22" s="56">
        <f>L_NewMM</f>
        <v/>
      </c>
      <c r="AL22" s="56">
        <f>L_NewMM</f>
        <v/>
      </c>
    </row>
    <row r="23">
      <c r="A23" s="33" t="inlineStr">
        <is>
          <t>Churned customers</t>
        </is>
      </c>
      <c r="B23" s="34" t="inlineStr">
        <is>
          <t>#</t>
        </is>
      </c>
      <c r="C23" s="56">
        <f>-C21*L_ChurnMM</f>
        <v/>
      </c>
      <c r="D23" s="56">
        <f>-D21*L_ChurnMM</f>
        <v/>
      </c>
      <c r="E23" s="56">
        <f>-E21*L_ChurnMM</f>
        <v/>
      </c>
      <c r="F23" s="56">
        <f>-F21*L_ChurnMM</f>
        <v/>
      </c>
      <c r="G23" s="56">
        <f>-G21*L_ChurnMM</f>
        <v/>
      </c>
      <c r="H23" s="56">
        <f>-H21*L_ChurnMM</f>
        <v/>
      </c>
      <c r="I23" s="56">
        <f>-I21*L_ChurnMM</f>
        <v/>
      </c>
      <c r="J23" s="56">
        <f>-J21*L_ChurnMM</f>
        <v/>
      </c>
      <c r="K23" s="56">
        <f>-K21*L_ChurnMM</f>
        <v/>
      </c>
      <c r="L23" s="56">
        <f>-L21*L_ChurnMM</f>
        <v/>
      </c>
      <c r="M23" s="56">
        <f>-M21*L_ChurnMM</f>
        <v/>
      </c>
      <c r="N23" s="56">
        <f>-N21*L_ChurnMM</f>
        <v/>
      </c>
      <c r="O23" s="56">
        <f>-O21*L_ChurnMM</f>
        <v/>
      </c>
      <c r="P23" s="56">
        <f>-P21*L_ChurnMM</f>
        <v/>
      </c>
      <c r="Q23" s="56">
        <f>-Q21*L_ChurnMM</f>
        <v/>
      </c>
      <c r="R23" s="56">
        <f>-R21*L_ChurnMM</f>
        <v/>
      </c>
      <c r="S23" s="56">
        <f>-S21*L_ChurnMM</f>
        <v/>
      </c>
      <c r="T23" s="56">
        <f>-T21*L_ChurnMM</f>
        <v/>
      </c>
      <c r="U23" s="56">
        <f>-U21*L_ChurnMM</f>
        <v/>
      </c>
      <c r="V23" s="56">
        <f>-V21*L_ChurnMM</f>
        <v/>
      </c>
      <c r="W23" s="56">
        <f>-W21*L_ChurnMM</f>
        <v/>
      </c>
      <c r="X23" s="56">
        <f>-X21*L_ChurnMM</f>
        <v/>
      </c>
      <c r="Y23" s="56">
        <f>-Y21*L_ChurnMM</f>
        <v/>
      </c>
      <c r="Z23" s="56">
        <f>-Z21*L_ChurnMM</f>
        <v/>
      </c>
      <c r="AA23" s="56">
        <f>-AA21*L_ChurnMM</f>
        <v/>
      </c>
      <c r="AB23" s="56">
        <f>-AB21*L_ChurnMM</f>
        <v/>
      </c>
      <c r="AC23" s="56">
        <f>-AC21*L_ChurnMM</f>
        <v/>
      </c>
      <c r="AD23" s="56">
        <f>-AD21*L_ChurnMM</f>
        <v/>
      </c>
      <c r="AE23" s="56">
        <f>-AE21*L_ChurnMM</f>
        <v/>
      </c>
      <c r="AF23" s="56">
        <f>-AF21*L_ChurnMM</f>
        <v/>
      </c>
      <c r="AG23" s="56">
        <f>-AG21*L_ChurnMM</f>
        <v/>
      </c>
      <c r="AH23" s="56">
        <f>-AH21*L_ChurnMM</f>
        <v/>
      </c>
      <c r="AI23" s="56">
        <f>-AI21*L_ChurnMM</f>
        <v/>
      </c>
      <c r="AJ23" s="56">
        <f>-AJ21*L_ChurnMM</f>
        <v/>
      </c>
      <c r="AK23" s="56">
        <f>-AK21*L_ChurnMM</f>
        <v/>
      </c>
      <c r="AL23" s="56">
        <f>-AL21*L_ChurnMM</f>
        <v/>
      </c>
    </row>
    <row r="24">
      <c r="A24" s="33" t="inlineStr">
        <is>
          <t>Closing customers</t>
        </is>
      </c>
      <c r="B24" s="34" t="inlineStr">
        <is>
          <t>#</t>
        </is>
      </c>
      <c r="C24" s="57">
        <f>C21+C22+C23</f>
        <v/>
      </c>
      <c r="D24" s="57">
        <f>D21+D22+D23</f>
        <v/>
      </c>
      <c r="E24" s="57">
        <f>E21+E22+E23</f>
        <v/>
      </c>
      <c r="F24" s="57">
        <f>F21+F22+F23</f>
        <v/>
      </c>
      <c r="G24" s="57">
        <f>G21+G22+G23</f>
        <v/>
      </c>
      <c r="H24" s="57">
        <f>H21+H22+H23</f>
        <v/>
      </c>
      <c r="I24" s="57">
        <f>I21+I22+I23</f>
        <v/>
      </c>
      <c r="J24" s="57">
        <f>J21+J22+J23</f>
        <v/>
      </c>
      <c r="K24" s="57">
        <f>K21+K22+K23</f>
        <v/>
      </c>
      <c r="L24" s="57">
        <f>L21+L22+L23</f>
        <v/>
      </c>
      <c r="M24" s="57">
        <f>M21+M22+M23</f>
        <v/>
      </c>
      <c r="N24" s="57">
        <f>N21+N22+N23</f>
        <v/>
      </c>
      <c r="O24" s="57">
        <f>O21+O22+O23</f>
        <v/>
      </c>
      <c r="P24" s="57">
        <f>P21+P22+P23</f>
        <v/>
      </c>
      <c r="Q24" s="57">
        <f>Q21+Q22+Q23</f>
        <v/>
      </c>
      <c r="R24" s="57">
        <f>R21+R22+R23</f>
        <v/>
      </c>
      <c r="S24" s="57">
        <f>S21+S22+S23</f>
        <v/>
      </c>
      <c r="T24" s="57">
        <f>T21+T22+T23</f>
        <v/>
      </c>
      <c r="U24" s="57">
        <f>U21+U22+U23</f>
        <v/>
      </c>
      <c r="V24" s="57">
        <f>V21+V22+V23</f>
        <v/>
      </c>
      <c r="W24" s="57">
        <f>W21+W22+W23</f>
        <v/>
      </c>
      <c r="X24" s="57">
        <f>X21+X22+X23</f>
        <v/>
      </c>
      <c r="Y24" s="57">
        <f>Y21+Y22+Y23</f>
        <v/>
      </c>
      <c r="Z24" s="57">
        <f>Z21+Z22+Z23</f>
        <v/>
      </c>
      <c r="AA24" s="57">
        <f>AA21+AA22+AA23</f>
        <v/>
      </c>
      <c r="AB24" s="57">
        <f>AB21+AB22+AB23</f>
        <v/>
      </c>
      <c r="AC24" s="57">
        <f>AC21+AC22+AC23</f>
        <v/>
      </c>
      <c r="AD24" s="57">
        <f>AD21+AD22+AD23</f>
        <v/>
      </c>
      <c r="AE24" s="57">
        <f>AE21+AE22+AE23</f>
        <v/>
      </c>
      <c r="AF24" s="57">
        <f>AF21+AF22+AF23</f>
        <v/>
      </c>
      <c r="AG24" s="57">
        <f>AG21+AG22+AG23</f>
        <v/>
      </c>
      <c r="AH24" s="57">
        <f>AH21+AH22+AH23</f>
        <v/>
      </c>
      <c r="AI24" s="57">
        <f>AI21+AI22+AI23</f>
        <v/>
      </c>
      <c r="AJ24" s="57">
        <f>AJ21+AJ22+AJ23</f>
        <v/>
      </c>
      <c r="AK24" s="57">
        <f>AK21+AK22+AK23</f>
        <v/>
      </c>
      <c r="AL24" s="57">
        <f>AL21+AL22+AL23</f>
        <v/>
      </c>
    </row>
    <row r="25">
      <c r="A25" s="33" t="inlineStr">
        <is>
          <t>ARPU</t>
        </is>
      </c>
      <c r="B25" s="34" t="inlineStr">
        <is>
          <t>$/mo</t>
        </is>
      </c>
      <c r="C25" s="58">
        <f>A_MMARPU0</f>
        <v/>
      </c>
      <c r="D25" s="58">
        <f>C25*(1+L_Price)^(1/12)</f>
        <v/>
      </c>
      <c r="E25" s="58">
        <f>D25*(1+L_Price)^(1/12)</f>
        <v/>
      </c>
      <c r="F25" s="58">
        <f>E25*(1+L_Price)^(1/12)</f>
        <v/>
      </c>
      <c r="G25" s="58">
        <f>F25*(1+L_Price)^(1/12)</f>
        <v/>
      </c>
      <c r="H25" s="58">
        <f>G25*(1+L_Price)^(1/12)</f>
        <v/>
      </c>
      <c r="I25" s="58">
        <f>H25*(1+L_Price)^(1/12)</f>
        <v/>
      </c>
      <c r="J25" s="58">
        <f>I25*(1+L_Price)^(1/12)</f>
        <v/>
      </c>
      <c r="K25" s="58">
        <f>J25*(1+L_Price)^(1/12)</f>
        <v/>
      </c>
      <c r="L25" s="58">
        <f>K25*(1+L_Price)^(1/12)</f>
        <v/>
      </c>
      <c r="M25" s="58">
        <f>L25*(1+L_Price)^(1/12)</f>
        <v/>
      </c>
      <c r="N25" s="58">
        <f>M25*(1+L_Price)^(1/12)</f>
        <v/>
      </c>
      <c r="O25" s="58">
        <f>N25*(1+L_Price)^(1/12)</f>
        <v/>
      </c>
      <c r="P25" s="58">
        <f>O25*(1+L_Price)^(1/12)</f>
        <v/>
      </c>
      <c r="Q25" s="58">
        <f>P25*(1+L_Price)^(1/12)</f>
        <v/>
      </c>
      <c r="R25" s="58">
        <f>Q25*(1+L_Price)^(1/12)</f>
        <v/>
      </c>
      <c r="S25" s="58">
        <f>R25*(1+L_Price)^(1/12)</f>
        <v/>
      </c>
      <c r="T25" s="58">
        <f>S25*(1+L_Price)^(1/12)</f>
        <v/>
      </c>
      <c r="U25" s="58">
        <f>T25*(1+L_Price)^(1/12)</f>
        <v/>
      </c>
      <c r="V25" s="58">
        <f>U25*(1+L_Price)^(1/12)</f>
        <v/>
      </c>
      <c r="W25" s="58">
        <f>V25*(1+L_Price)^(1/12)</f>
        <v/>
      </c>
      <c r="X25" s="58">
        <f>W25*(1+L_Price)^(1/12)</f>
        <v/>
      </c>
      <c r="Y25" s="58">
        <f>X25*(1+L_Price)^(1/12)</f>
        <v/>
      </c>
      <c r="Z25" s="58">
        <f>Y25*(1+L_Price)^(1/12)</f>
        <v/>
      </c>
      <c r="AA25" s="58">
        <f>Z25*(1+L_Price)^(1/12)</f>
        <v/>
      </c>
      <c r="AB25" s="58">
        <f>AA25*(1+L_Price)^(1/12)</f>
        <v/>
      </c>
      <c r="AC25" s="58">
        <f>AB25*(1+L_Price)^(1/12)</f>
        <v/>
      </c>
      <c r="AD25" s="58">
        <f>AC25*(1+L_Price)^(1/12)</f>
        <v/>
      </c>
      <c r="AE25" s="58">
        <f>AD25*(1+L_Price)^(1/12)</f>
        <v/>
      </c>
      <c r="AF25" s="58">
        <f>AE25*(1+L_Price)^(1/12)</f>
        <v/>
      </c>
      <c r="AG25" s="58">
        <f>AF25*(1+L_Price)^(1/12)</f>
        <v/>
      </c>
      <c r="AH25" s="58">
        <f>AG25*(1+L_Price)^(1/12)</f>
        <v/>
      </c>
      <c r="AI25" s="58">
        <f>AH25*(1+L_Price)^(1/12)</f>
        <v/>
      </c>
      <c r="AJ25" s="58">
        <f>AI25*(1+L_Price)^(1/12)</f>
        <v/>
      </c>
      <c r="AK25" s="58">
        <f>AJ25*(1+L_Price)^(1/12)</f>
        <v/>
      </c>
      <c r="AL25" s="58">
        <f>AK25*(1+L_Price)^(1/12)</f>
        <v/>
      </c>
    </row>
    <row r="27">
      <c r="A27" s="33" t="inlineStr">
        <is>
          <t>Opening MRR</t>
        </is>
      </c>
      <c r="B27" s="34" t="inlineStr">
        <is>
          <t>$</t>
        </is>
      </c>
      <c r="C27" s="58">
        <f>A_MMCust0*A_MMARPU0</f>
        <v/>
      </c>
      <c r="D27" s="58">
        <f>C31</f>
        <v/>
      </c>
      <c r="E27" s="58">
        <f>D31</f>
        <v/>
      </c>
      <c r="F27" s="58">
        <f>E31</f>
        <v/>
      </c>
      <c r="G27" s="58">
        <f>F31</f>
        <v/>
      </c>
      <c r="H27" s="58">
        <f>G31</f>
        <v/>
      </c>
      <c r="I27" s="58">
        <f>H31</f>
        <v/>
      </c>
      <c r="J27" s="58">
        <f>I31</f>
        <v/>
      </c>
      <c r="K27" s="58">
        <f>J31</f>
        <v/>
      </c>
      <c r="L27" s="58">
        <f>K31</f>
        <v/>
      </c>
      <c r="M27" s="58">
        <f>L31</f>
        <v/>
      </c>
      <c r="N27" s="58">
        <f>M31</f>
        <v/>
      </c>
      <c r="O27" s="58">
        <f>N31</f>
        <v/>
      </c>
      <c r="P27" s="58">
        <f>O31</f>
        <v/>
      </c>
      <c r="Q27" s="58">
        <f>P31</f>
        <v/>
      </c>
      <c r="R27" s="58">
        <f>Q31</f>
        <v/>
      </c>
      <c r="S27" s="58">
        <f>R31</f>
        <v/>
      </c>
      <c r="T27" s="58">
        <f>S31</f>
        <v/>
      </c>
      <c r="U27" s="58">
        <f>T31</f>
        <v/>
      </c>
      <c r="V27" s="58">
        <f>U31</f>
        <v/>
      </c>
      <c r="W27" s="58">
        <f>V31</f>
        <v/>
      </c>
      <c r="X27" s="58">
        <f>W31</f>
        <v/>
      </c>
      <c r="Y27" s="58">
        <f>X31</f>
        <v/>
      </c>
      <c r="Z27" s="58">
        <f>Y31</f>
        <v/>
      </c>
      <c r="AA27" s="58">
        <f>Z31</f>
        <v/>
      </c>
      <c r="AB27" s="58">
        <f>AA31</f>
        <v/>
      </c>
      <c r="AC27" s="58">
        <f>AB31</f>
        <v/>
      </c>
      <c r="AD27" s="58">
        <f>AC31</f>
        <v/>
      </c>
      <c r="AE27" s="58">
        <f>AD31</f>
        <v/>
      </c>
      <c r="AF27" s="58">
        <f>AE31</f>
        <v/>
      </c>
      <c r="AG27" s="58">
        <f>AF31</f>
        <v/>
      </c>
      <c r="AH27" s="58">
        <f>AG31</f>
        <v/>
      </c>
      <c r="AI27" s="58">
        <f>AH31</f>
        <v/>
      </c>
      <c r="AJ27" s="58">
        <f>AI31</f>
        <v/>
      </c>
      <c r="AK27" s="58">
        <f>AJ31</f>
        <v/>
      </c>
      <c r="AL27" s="58">
        <f>AK31</f>
        <v/>
      </c>
    </row>
    <row r="28">
      <c r="A28" s="33" t="inlineStr">
        <is>
          <t>New business MRR</t>
        </is>
      </c>
      <c r="B28" s="34" t="inlineStr">
        <is>
          <t>$</t>
        </is>
      </c>
      <c r="C28" s="58">
        <f>C22*C25</f>
        <v/>
      </c>
      <c r="D28" s="58">
        <f>D22*D25</f>
        <v/>
      </c>
      <c r="E28" s="58">
        <f>E22*E25</f>
        <v/>
      </c>
      <c r="F28" s="58">
        <f>F22*F25</f>
        <v/>
      </c>
      <c r="G28" s="58">
        <f>G22*G25</f>
        <v/>
      </c>
      <c r="H28" s="58">
        <f>H22*H25</f>
        <v/>
      </c>
      <c r="I28" s="58">
        <f>I22*I25</f>
        <v/>
      </c>
      <c r="J28" s="58">
        <f>J22*J25</f>
        <v/>
      </c>
      <c r="K28" s="58">
        <f>K22*K25</f>
        <v/>
      </c>
      <c r="L28" s="58">
        <f>L22*L25</f>
        <v/>
      </c>
      <c r="M28" s="58">
        <f>M22*M25</f>
        <v/>
      </c>
      <c r="N28" s="58">
        <f>N22*N25</f>
        <v/>
      </c>
      <c r="O28" s="58">
        <f>O22*O25</f>
        <v/>
      </c>
      <c r="P28" s="58">
        <f>P22*P25</f>
        <v/>
      </c>
      <c r="Q28" s="58">
        <f>Q22*Q25</f>
        <v/>
      </c>
      <c r="R28" s="58">
        <f>R22*R25</f>
        <v/>
      </c>
      <c r="S28" s="58">
        <f>S22*S25</f>
        <v/>
      </c>
      <c r="T28" s="58">
        <f>T22*T25</f>
        <v/>
      </c>
      <c r="U28" s="58">
        <f>U22*U25</f>
        <v/>
      </c>
      <c r="V28" s="58">
        <f>V22*V25</f>
        <v/>
      </c>
      <c r="W28" s="58">
        <f>W22*W25</f>
        <v/>
      </c>
      <c r="X28" s="58">
        <f>X22*X25</f>
        <v/>
      </c>
      <c r="Y28" s="58">
        <f>Y22*Y25</f>
        <v/>
      </c>
      <c r="Z28" s="58">
        <f>Z22*Z25</f>
        <v/>
      </c>
      <c r="AA28" s="58">
        <f>AA22*AA25</f>
        <v/>
      </c>
      <c r="AB28" s="58">
        <f>AB22*AB25</f>
        <v/>
      </c>
      <c r="AC28" s="58">
        <f>AC22*AC25</f>
        <v/>
      </c>
      <c r="AD28" s="58">
        <f>AD22*AD25</f>
        <v/>
      </c>
      <c r="AE28" s="58">
        <f>AE22*AE25</f>
        <v/>
      </c>
      <c r="AF28" s="58">
        <f>AF22*AF25</f>
        <v/>
      </c>
      <c r="AG28" s="58">
        <f>AG22*AG25</f>
        <v/>
      </c>
      <c r="AH28" s="58">
        <f>AH22*AH25</f>
        <v/>
      </c>
      <c r="AI28" s="58">
        <f>AI22*AI25</f>
        <v/>
      </c>
      <c r="AJ28" s="58">
        <f>AJ22*AJ25</f>
        <v/>
      </c>
      <c r="AK28" s="58">
        <f>AK22*AK25</f>
        <v/>
      </c>
      <c r="AL28" s="58">
        <f>AL22*AL25</f>
        <v/>
      </c>
    </row>
    <row r="29">
      <c r="A29" s="33" t="inlineStr">
        <is>
          <t>Expansion MRR</t>
        </is>
      </c>
      <c r="B29" s="34" t="inlineStr">
        <is>
          <t>$</t>
        </is>
      </c>
      <c r="C29" s="58">
        <f>C27*L_ExpMM</f>
        <v/>
      </c>
      <c r="D29" s="58">
        <f>D27*L_ExpMM</f>
        <v/>
      </c>
      <c r="E29" s="58">
        <f>E27*L_ExpMM</f>
        <v/>
      </c>
      <c r="F29" s="58">
        <f>F27*L_ExpMM</f>
        <v/>
      </c>
      <c r="G29" s="58">
        <f>G27*L_ExpMM</f>
        <v/>
      </c>
      <c r="H29" s="58">
        <f>H27*L_ExpMM</f>
        <v/>
      </c>
      <c r="I29" s="58">
        <f>I27*L_ExpMM</f>
        <v/>
      </c>
      <c r="J29" s="58">
        <f>J27*L_ExpMM</f>
        <v/>
      </c>
      <c r="K29" s="58">
        <f>K27*L_ExpMM</f>
        <v/>
      </c>
      <c r="L29" s="58">
        <f>L27*L_ExpMM</f>
        <v/>
      </c>
      <c r="M29" s="58">
        <f>M27*L_ExpMM</f>
        <v/>
      </c>
      <c r="N29" s="58">
        <f>N27*L_ExpMM</f>
        <v/>
      </c>
      <c r="O29" s="58">
        <f>O27*L_ExpMM</f>
        <v/>
      </c>
      <c r="P29" s="58">
        <f>P27*L_ExpMM</f>
        <v/>
      </c>
      <c r="Q29" s="58">
        <f>Q27*L_ExpMM</f>
        <v/>
      </c>
      <c r="R29" s="58">
        <f>R27*L_ExpMM</f>
        <v/>
      </c>
      <c r="S29" s="58">
        <f>S27*L_ExpMM</f>
        <v/>
      </c>
      <c r="T29" s="58">
        <f>T27*L_ExpMM</f>
        <v/>
      </c>
      <c r="U29" s="58">
        <f>U27*L_ExpMM</f>
        <v/>
      </c>
      <c r="V29" s="58">
        <f>V27*L_ExpMM</f>
        <v/>
      </c>
      <c r="W29" s="58">
        <f>W27*L_ExpMM</f>
        <v/>
      </c>
      <c r="X29" s="58">
        <f>X27*L_ExpMM</f>
        <v/>
      </c>
      <c r="Y29" s="58">
        <f>Y27*L_ExpMM</f>
        <v/>
      </c>
      <c r="Z29" s="58">
        <f>Z27*L_ExpMM</f>
        <v/>
      </c>
      <c r="AA29" s="58">
        <f>AA27*L_ExpMM</f>
        <v/>
      </c>
      <c r="AB29" s="58">
        <f>AB27*L_ExpMM</f>
        <v/>
      </c>
      <c r="AC29" s="58">
        <f>AC27*L_ExpMM</f>
        <v/>
      </c>
      <c r="AD29" s="58">
        <f>AD27*L_ExpMM</f>
        <v/>
      </c>
      <c r="AE29" s="58">
        <f>AE27*L_ExpMM</f>
        <v/>
      </c>
      <c r="AF29" s="58">
        <f>AF27*L_ExpMM</f>
        <v/>
      </c>
      <c r="AG29" s="58">
        <f>AG27*L_ExpMM</f>
        <v/>
      </c>
      <c r="AH29" s="58">
        <f>AH27*L_ExpMM</f>
        <v/>
      </c>
      <c r="AI29" s="58">
        <f>AI27*L_ExpMM</f>
        <v/>
      </c>
      <c r="AJ29" s="58">
        <f>AJ27*L_ExpMM</f>
        <v/>
      </c>
      <c r="AK29" s="58">
        <f>AK27*L_ExpMM</f>
        <v/>
      </c>
      <c r="AL29" s="58">
        <f>AL27*L_ExpMM</f>
        <v/>
      </c>
    </row>
    <row r="30">
      <c r="A30" s="33" t="inlineStr">
        <is>
          <t>Churned MRR</t>
        </is>
      </c>
      <c r="B30" s="34" t="inlineStr">
        <is>
          <t>$</t>
        </is>
      </c>
      <c r="C30" s="58">
        <f>-C27*L_ChurnMM</f>
        <v/>
      </c>
      <c r="D30" s="58">
        <f>-D27*L_ChurnMM</f>
        <v/>
      </c>
      <c r="E30" s="58">
        <f>-E27*L_ChurnMM</f>
        <v/>
      </c>
      <c r="F30" s="58">
        <f>-F27*L_ChurnMM</f>
        <v/>
      </c>
      <c r="G30" s="58">
        <f>-G27*L_ChurnMM</f>
        <v/>
      </c>
      <c r="H30" s="58">
        <f>-H27*L_ChurnMM</f>
        <v/>
      </c>
      <c r="I30" s="58">
        <f>-I27*L_ChurnMM</f>
        <v/>
      </c>
      <c r="J30" s="58">
        <f>-J27*L_ChurnMM</f>
        <v/>
      </c>
      <c r="K30" s="58">
        <f>-K27*L_ChurnMM</f>
        <v/>
      </c>
      <c r="L30" s="58">
        <f>-L27*L_ChurnMM</f>
        <v/>
      </c>
      <c r="M30" s="58">
        <f>-M27*L_ChurnMM</f>
        <v/>
      </c>
      <c r="N30" s="58">
        <f>-N27*L_ChurnMM</f>
        <v/>
      </c>
      <c r="O30" s="58">
        <f>-O27*L_ChurnMM</f>
        <v/>
      </c>
      <c r="P30" s="58">
        <f>-P27*L_ChurnMM</f>
        <v/>
      </c>
      <c r="Q30" s="58">
        <f>-Q27*L_ChurnMM</f>
        <v/>
      </c>
      <c r="R30" s="58">
        <f>-R27*L_ChurnMM</f>
        <v/>
      </c>
      <c r="S30" s="58">
        <f>-S27*L_ChurnMM</f>
        <v/>
      </c>
      <c r="T30" s="58">
        <f>-T27*L_ChurnMM</f>
        <v/>
      </c>
      <c r="U30" s="58">
        <f>-U27*L_ChurnMM</f>
        <v/>
      </c>
      <c r="V30" s="58">
        <f>-V27*L_ChurnMM</f>
        <v/>
      </c>
      <c r="W30" s="58">
        <f>-W27*L_ChurnMM</f>
        <v/>
      </c>
      <c r="X30" s="58">
        <f>-X27*L_ChurnMM</f>
        <v/>
      </c>
      <c r="Y30" s="58">
        <f>-Y27*L_ChurnMM</f>
        <v/>
      </c>
      <c r="Z30" s="58">
        <f>-Z27*L_ChurnMM</f>
        <v/>
      </c>
      <c r="AA30" s="58">
        <f>-AA27*L_ChurnMM</f>
        <v/>
      </c>
      <c r="AB30" s="58">
        <f>-AB27*L_ChurnMM</f>
        <v/>
      </c>
      <c r="AC30" s="58">
        <f>-AC27*L_ChurnMM</f>
        <v/>
      </c>
      <c r="AD30" s="58">
        <f>-AD27*L_ChurnMM</f>
        <v/>
      </c>
      <c r="AE30" s="58">
        <f>-AE27*L_ChurnMM</f>
        <v/>
      </c>
      <c r="AF30" s="58">
        <f>-AF27*L_ChurnMM</f>
        <v/>
      </c>
      <c r="AG30" s="58">
        <f>-AG27*L_ChurnMM</f>
        <v/>
      </c>
      <c r="AH30" s="58">
        <f>-AH27*L_ChurnMM</f>
        <v/>
      </c>
      <c r="AI30" s="58">
        <f>-AI27*L_ChurnMM</f>
        <v/>
      </c>
      <c r="AJ30" s="58">
        <f>-AJ27*L_ChurnMM</f>
        <v/>
      </c>
      <c r="AK30" s="58">
        <f>-AK27*L_ChurnMM</f>
        <v/>
      </c>
      <c r="AL30" s="58">
        <f>-AL27*L_ChurnMM</f>
        <v/>
      </c>
    </row>
    <row r="31">
      <c r="A31" s="59" t="inlineStr">
        <is>
          <t>Closing MRR</t>
        </is>
      </c>
      <c r="B31" s="60" t="inlineStr">
        <is>
          <t>$</t>
        </is>
      </c>
      <c r="C31" s="61">
        <f>C27+C28+C29+C30</f>
        <v/>
      </c>
      <c r="D31" s="61">
        <f>D27+D28+D29+D30</f>
        <v/>
      </c>
      <c r="E31" s="61">
        <f>E27+E28+E29+E30</f>
        <v/>
      </c>
      <c r="F31" s="61">
        <f>F27+F28+F29+F30</f>
        <v/>
      </c>
      <c r="G31" s="61">
        <f>G27+G28+G29+G30</f>
        <v/>
      </c>
      <c r="H31" s="61">
        <f>H27+H28+H29+H30</f>
        <v/>
      </c>
      <c r="I31" s="61">
        <f>I27+I28+I29+I30</f>
        <v/>
      </c>
      <c r="J31" s="61">
        <f>J27+J28+J29+J30</f>
        <v/>
      </c>
      <c r="K31" s="61">
        <f>K27+K28+K29+K30</f>
        <v/>
      </c>
      <c r="L31" s="61">
        <f>L27+L28+L29+L30</f>
        <v/>
      </c>
      <c r="M31" s="61">
        <f>M27+M28+M29+M30</f>
        <v/>
      </c>
      <c r="N31" s="61">
        <f>N27+N28+N29+N30</f>
        <v/>
      </c>
      <c r="O31" s="61">
        <f>O27+O28+O29+O30</f>
        <v/>
      </c>
      <c r="P31" s="61">
        <f>P27+P28+P29+P30</f>
        <v/>
      </c>
      <c r="Q31" s="61">
        <f>Q27+Q28+Q29+Q30</f>
        <v/>
      </c>
      <c r="R31" s="61">
        <f>R27+R28+R29+R30</f>
        <v/>
      </c>
      <c r="S31" s="61">
        <f>S27+S28+S29+S30</f>
        <v/>
      </c>
      <c r="T31" s="61">
        <f>T27+T28+T29+T30</f>
        <v/>
      </c>
      <c r="U31" s="61">
        <f>U27+U28+U29+U30</f>
        <v/>
      </c>
      <c r="V31" s="61">
        <f>V27+V28+V29+V30</f>
        <v/>
      </c>
      <c r="W31" s="61">
        <f>W27+W28+W29+W30</f>
        <v/>
      </c>
      <c r="X31" s="61">
        <f>X27+X28+X29+X30</f>
        <v/>
      </c>
      <c r="Y31" s="61">
        <f>Y27+Y28+Y29+Y30</f>
        <v/>
      </c>
      <c r="Z31" s="61">
        <f>Z27+Z28+Z29+Z30</f>
        <v/>
      </c>
      <c r="AA31" s="61">
        <f>AA27+AA28+AA29+AA30</f>
        <v/>
      </c>
      <c r="AB31" s="61">
        <f>AB27+AB28+AB29+AB30</f>
        <v/>
      </c>
      <c r="AC31" s="61">
        <f>AC27+AC28+AC29+AC30</f>
        <v/>
      </c>
      <c r="AD31" s="61">
        <f>AD27+AD28+AD29+AD30</f>
        <v/>
      </c>
      <c r="AE31" s="61">
        <f>AE27+AE28+AE29+AE30</f>
        <v/>
      </c>
      <c r="AF31" s="61">
        <f>AF27+AF28+AF29+AF30</f>
        <v/>
      </c>
      <c r="AG31" s="61">
        <f>AG27+AG28+AG29+AG30</f>
        <v/>
      </c>
      <c r="AH31" s="61">
        <f>AH27+AH28+AH29+AH30</f>
        <v/>
      </c>
      <c r="AI31" s="61">
        <f>AI27+AI28+AI29+AI30</f>
        <v/>
      </c>
      <c r="AJ31" s="61">
        <f>AJ27+AJ28+AJ29+AJ30</f>
        <v/>
      </c>
      <c r="AK31" s="61">
        <f>AK27+AK28+AK29+AK30</f>
        <v/>
      </c>
      <c r="AL31" s="61">
        <f>AL27+AL28+AL29+AL30</f>
        <v/>
      </c>
    </row>
    <row r="33">
      <c r="A33" s="31" t="inlineStr">
        <is>
          <t>TOTAL AND RECOGNISED REVENUE</t>
        </is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</row>
    <row r="34">
      <c r="A34" s="33" t="inlineStr">
        <is>
          <t>Total MRR</t>
        </is>
      </c>
      <c r="B34" s="34" t="inlineStr">
        <is>
          <t>$</t>
        </is>
      </c>
      <c r="C34" s="62">
        <f>C18+C31</f>
        <v/>
      </c>
      <c r="D34" s="62">
        <f>D18+D31</f>
        <v/>
      </c>
      <c r="E34" s="62">
        <f>E18+E31</f>
        <v/>
      </c>
      <c r="F34" s="62">
        <f>F18+F31</f>
        <v/>
      </c>
      <c r="G34" s="62">
        <f>G18+G31</f>
        <v/>
      </c>
      <c r="H34" s="62">
        <f>H18+H31</f>
        <v/>
      </c>
      <c r="I34" s="62">
        <f>I18+I31</f>
        <v/>
      </c>
      <c r="J34" s="62">
        <f>J18+J31</f>
        <v/>
      </c>
      <c r="K34" s="62">
        <f>K18+K31</f>
        <v/>
      </c>
      <c r="L34" s="62">
        <f>L18+L31</f>
        <v/>
      </c>
      <c r="M34" s="62">
        <f>M18+M31</f>
        <v/>
      </c>
      <c r="N34" s="62">
        <f>N18+N31</f>
        <v/>
      </c>
      <c r="O34" s="62">
        <f>O18+O31</f>
        <v/>
      </c>
      <c r="P34" s="62">
        <f>P18+P31</f>
        <v/>
      </c>
      <c r="Q34" s="62">
        <f>Q18+Q31</f>
        <v/>
      </c>
      <c r="R34" s="62">
        <f>R18+R31</f>
        <v/>
      </c>
      <c r="S34" s="62">
        <f>S18+S31</f>
        <v/>
      </c>
      <c r="T34" s="62">
        <f>T18+T31</f>
        <v/>
      </c>
      <c r="U34" s="62">
        <f>U18+U31</f>
        <v/>
      </c>
      <c r="V34" s="62">
        <f>V18+V31</f>
        <v/>
      </c>
      <c r="W34" s="62">
        <f>W18+W31</f>
        <v/>
      </c>
      <c r="X34" s="62">
        <f>X18+X31</f>
        <v/>
      </c>
      <c r="Y34" s="62">
        <f>Y18+Y31</f>
        <v/>
      </c>
      <c r="Z34" s="62">
        <f>Z18+Z31</f>
        <v/>
      </c>
      <c r="AA34" s="62">
        <f>AA18+AA31</f>
        <v/>
      </c>
      <c r="AB34" s="62">
        <f>AB18+AB31</f>
        <v/>
      </c>
      <c r="AC34" s="62">
        <f>AC18+AC31</f>
        <v/>
      </c>
      <c r="AD34" s="62">
        <f>AD18+AD31</f>
        <v/>
      </c>
      <c r="AE34" s="62">
        <f>AE18+AE31</f>
        <v/>
      </c>
      <c r="AF34" s="62">
        <f>AF18+AF31</f>
        <v/>
      </c>
      <c r="AG34" s="62">
        <f>AG18+AG31</f>
        <v/>
      </c>
      <c r="AH34" s="62">
        <f>AH18+AH31</f>
        <v/>
      </c>
      <c r="AI34" s="62">
        <f>AI18+AI31</f>
        <v/>
      </c>
      <c r="AJ34" s="62">
        <f>AJ18+AJ31</f>
        <v/>
      </c>
      <c r="AK34" s="62">
        <f>AK18+AK31</f>
        <v/>
      </c>
      <c r="AL34" s="62">
        <f>AL18+AL31</f>
        <v/>
      </c>
    </row>
    <row r="35">
      <c r="A35" s="33" t="inlineStr">
        <is>
          <t>Total ARR</t>
        </is>
      </c>
      <c r="B35" s="34" t="inlineStr">
        <is>
          <t>$</t>
        </is>
      </c>
      <c r="C35" s="62">
        <f>C34*12</f>
        <v/>
      </c>
      <c r="D35" s="62">
        <f>D34*12</f>
        <v/>
      </c>
      <c r="E35" s="62">
        <f>E34*12</f>
        <v/>
      </c>
      <c r="F35" s="62">
        <f>F34*12</f>
        <v/>
      </c>
      <c r="G35" s="62">
        <f>G34*12</f>
        <v/>
      </c>
      <c r="H35" s="62">
        <f>H34*12</f>
        <v/>
      </c>
      <c r="I35" s="62">
        <f>I34*12</f>
        <v/>
      </c>
      <c r="J35" s="62">
        <f>J34*12</f>
        <v/>
      </c>
      <c r="K35" s="62">
        <f>K34*12</f>
        <v/>
      </c>
      <c r="L35" s="62">
        <f>L34*12</f>
        <v/>
      </c>
      <c r="M35" s="62">
        <f>M34*12</f>
        <v/>
      </c>
      <c r="N35" s="62">
        <f>N34*12</f>
        <v/>
      </c>
      <c r="O35" s="62">
        <f>O34*12</f>
        <v/>
      </c>
      <c r="P35" s="62">
        <f>P34*12</f>
        <v/>
      </c>
      <c r="Q35" s="62">
        <f>Q34*12</f>
        <v/>
      </c>
      <c r="R35" s="62">
        <f>R34*12</f>
        <v/>
      </c>
      <c r="S35" s="62">
        <f>S34*12</f>
        <v/>
      </c>
      <c r="T35" s="62">
        <f>T34*12</f>
        <v/>
      </c>
      <c r="U35" s="62">
        <f>U34*12</f>
        <v/>
      </c>
      <c r="V35" s="62">
        <f>V34*12</f>
        <v/>
      </c>
      <c r="W35" s="62">
        <f>W34*12</f>
        <v/>
      </c>
      <c r="X35" s="62">
        <f>X34*12</f>
        <v/>
      </c>
      <c r="Y35" s="62">
        <f>Y34*12</f>
        <v/>
      </c>
      <c r="Z35" s="62">
        <f>Z34*12</f>
        <v/>
      </c>
      <c r="AA35" s="62">
        <f>AA34*12</f>
        <v/>
      </c>
      <c r="AB35" s="62">
        <f>AB34*12</f>
        <v/>
      </c>
      <c r="AC35" s="62">
        <f>AC34*12</f>
        <v/>
      </c>
      <c r="AD35" s="62">
        <f>AD34*12</f>
        <v/>
      </c>
      <c r="AE35" s="62">
        <f>AE34*12</f>
        <v/>
      </c>
      <c r="AF35" s="62">
        <f>AF34*12</f>
        <v/>
      </c>
      <c r="AG35" s="62">
        <f>AG34*12</f>
        <v/>
      </c>
      <c r="AH35" s="62">
        <f>AH34*12</f>
        <v/>
      </c>
      <c r="AI35" s="62">
        <f>AI34*12</f>
        <v/>
      </c>
      <c r="AJ35" s="62">
        <f>AJ34*12</f>
        <v/>
      </c>
      <c r="AK35" s="62">
        <f>AK34*12</f>
        <v/>
      </c>
      <c r="AL35" s="62">
        <f>AL34*12</f>
        <v/>
      </c>
    </row>
    <row r="36">
      <c r="A36" s="59" t="inlineStr">
        <is>
          <t>Recognised revenue</t>
        </is>
      </c>
      <c r="B36" s="60" t="inlineStr">
        <is>
          <t>$</t>
        </is>
      </c>
      <c r="C36" s="61">
        <f>C34</f>
        <v/>
      </c>
      <c r="D36" s="61">
        <f>D34</f>
        <v/>
      </c>
      <c r="E36" s="61">
        <f>E34</f>
        <v/>
      </c>
      <c r="F36" s="61">
        <f>F34</f>
        <v/>
      </c>
      <c r="G36" s="61">
        <f>G34</f>
        <v/>
      </c>
      <c r="H36" s="61">
        <f>H34</f>
        <v/>
      </c>
      <c r="I36" s="61">
        <f>I34</f>
        <v/>
      </c>
      <c r="J36" s="61">
        <f>J34</f>
        <v/>
      </c>
      <c r="K36" s="61">
        <f>K34</f>
        <v/>
      </c>
      <c r="L36" s="61">
        <f>L34</f>
        <v/>
      </c>
      <c r="M36" s="61">
        <f>M34</f>
        <v/>
      </c>
      <c r="N36" s="61">
        <f>N34</f>
        <v/>
      </c>
      <c r="O36" s="61">
        <f>O34</f>
        <v/>
      </c>
      <c r="P36" s="61">
        <f>P34</f>
        <v/>
      </c>
      <c r="Q36" s="61">
        <f>Q34</f>
        <v/>
      </c>
      <c r="R36" s="61">
        <f>R34</f>
        <v/>
      </c>
      <c r="S36" s="61">
        <f>S34</f>
        <v/>
      </c>
      <c r="T36" s="61">
        <f>T34</f>
        <v/>
      </c>
      <c r="U36" s="61">
        <f>U34</f>
        <v/>
      </c>
      <c r="V36" s="61">
        <f>V34</f>
        <v/>
      </c>
      <c r="W36" s="61">
        <f>W34</f>
        <v/>
      </c>
      <c r="X36" s="61">
        <f>X34</f>
        <v/>
      </c>
      <c r="Y36" s="61">
        <f>Y34</f>
        <v/>
      </c>
      <c r="Z36" s="61">
        <f>Z34</f>
        <v/>
      </c>
      <c r="AA36" s="61">
        <f>AA34</f>
        <v/>
      </c>
      <c r="AB36" s="61">
        <f>AB34</f>
        <v/>
      </c>
      <c r="AC36" s="61">
        <f>AC34</f>
        <v/>
      </c>
      <c r="AD36" s="61">
        <f>AD34</f>
        <v/>
      </c>
      <c r="AE36" s="61">
        <f>AE34</f>
        <v/>
      </c>
      <c r="AF36" s="61">
        <f>AF34</f>
        <v/>
      </c>
      <c r="AG36" s="61">
        <f>AG34</f>
        <v/>
      </c>
      <c r="AH36" s="61">
        <f>AH34</f>
        <v/>
      </c>
      <c r="AI36" s="61">
        <f>AI34</f>
        <v/>
      </c>
      <c r="AJ36" s="61">
        <f>AJ34</f>
        <v/>
      </c>
      <c r="AK36" s="61">
        <f>AK34</f>
        <v/>
      </c>
      <c r="AL36" s="61">
        <f>AL34</f>
        <v/>
      </c>
    </row>
    <row r="37">
      <c r="A37" s="63" t="inlineStr">
        <is>
          <t>of which Enterprise tier</t>
        </is>
      </c>
      <c r="B37" s="34" t="inlineStr">
        <is>
          <t>$</t>
        </is>
      </c>
      <c r="C37" s="58">
        <f>C18</f>
        <v/>
      </c>
      <c r="D37" s="58">
        <f>D18</f>
        <v/>
      </c>
      <c r="E37" s="58">
        <f>E18</f>
        <v/>
      </c>
      <c r="F37" s="58">
        <f>F18</f>
        <v/>
      </c>
      <c r="G37" s="58">
        <f>G18</f>
        <v/>
      </c>
      <c r="H37" s="58">
        <f>H18</f>
        <v/>
      </c>
      <c r="I37" s="58">
        <f>I18</f>
        <v/>
      </c>
      <c r="J37" s="58">
        <f>J18</f>
        <v/>
      </c>
      <c r="K37" s="58">
        <f>K18</f>
        <v/>
      </c>
      <c r="L37" s="58">
        <f>L18</f>
        <v/>
      </c>
      <c r="M37" s="58">
        <f>M18</f>
        <v/>
      </c>
      <c r="N37" s="58">
        <f>N18</f>
        <v/>
      </c>
      <c r="O37" s="58">
        <f>O18</f>
        <v/>
      </c>
      <c r="P37" s="58">
        <f>P18</f>
        <v/>
      </c>
      <c r="Q37" s="58">
        <f>Q18</f>
        <v/>
      </c>
      <c r="R37" s="58">
        <f>R18</f>
        <v/>
      </c>
      <c r="S37" s="58">
        <f>S18</f>
        <v/>
      </c>
      <c r="T37" s="58">
        <f>T18</f>
        <v/>
      </c>
      <c r="U37" s="58">
        <f>U18</f>
        <v/>
      </c>
      <c r="V37" s="58">
        <f>V18</f>
        <v/>
      </c>
      <c r="W37" s="58">
        <f>W18</f>
        <v/>
      </c>
      <c r="X37" s="58">
        <f>X18</f>
        <v/>
      </c>
      <c r="Y37" s="58">
        <f>Y18</f>
        <v/>
      </c>
      <c r="Z37" s="58">
        <f>Z18</f>
        <v/>
      </c>
      <c r="AA37" s="58">
        <f>AA18</f>
        <v/>
      </c>
      <c r="AB37" s="58">
        <f>AB18</f>
        <v/>
      </c>
      <c r="AC37" s="58">
        <f>AC18</f>
        <v/>
      </c>
      <c r="AD37" s="58">
        <f>AD18</f>
        <v/>
      </c>
      <c r="AE37" s="58">
        <f>AE18</f>
        <v/>
      </c>
      <c r="AF37" s="58">
        <f>AF18</f>
        <v/>
      </c>
      <c r="AG37" s="58">
        <f>AG18</f>
        <v/>
      </c>
      <c r="AH37" s="58">
        <f>AH18</f>
        <v/>
      </c>
      <c r="AI37" s="58">
        <f>AI18</f>
        <v/>
      </c>
      <c r="AJ37" s="58">
        <f>AJ18</f>
        <v/>
      </c>
      <c r="AK37" s="58">
        <f>AK18</f>
        <v/>
      </c>
      <c r="AL37" s="58">
        <f>AL18</f>
        <v/>
      </c>
    </row>
    <row r="38">
      <c r="A38" s="63" t="inlineStr">
        <is>
          <t>of which Professional tier</t>
        </is>
      </c>
      <c r="B38" s="34" t="inlineStr">
        <is>
          <t>$</t>
        </is>
      </c>
      <c r="C38" s="58">
        <f>C31</f>
        <v/>
      </c>
      <c r="D38" s="58">
        <f>D31</f>
        <v/>
      </c>
      <c r="E38" s="58">
        <f>E31</f>
        <v/>
      </c>
      <c r="F38" s="58">
        <f>F31</f>
        <v/>
      </c>
      <c r="G38" s="58">
        <f>G31</f>
        <v/>
      </c>
      <c r="H38" s="58">
        <f>H31</f>
        <v/>
      </c>
      <c r="I38" s="58">
        <f>I31</f>
        <v/>
      </c>
      <c r="J38" s="58">
        <f>J31</f>
        <v/>
      </c>
      <c r="K38" s="58">
        <f>K31</f>
        <v/>
      </c>
      <c r="L38" s="58">
        <f>L31</f>
        <v/>
      </c>
      <c r="M38" s="58">
        <f>M31</f>
        <v/>
      </c>
      <c r="N38" s="58">
        <f>N31</f>
        <v/>
      </c>
      <c r="O38" s="58">
        <f>O31</f>
        <v/>
      </c>
      <c r="P38" s="58">
        <f>P31</f>
        <v/>
      </c>
      <c r="Q38" s="58">
        <f>Q31</f>
        <v/>
      </c>
      <c r="R38" s="58">
        <f>R31</f>
        <v/>
      </c>
      <c r="S38" s="58">
        <f>S31</f>
        <v/>
      </c>
      <c r="T38" s="58">
        <f>T31</f>
        <v/>
      </c>
      <c r="U38" s="58">
        <f>U31</f>
        <v/>
      </c>
      <c r="V38" s="58">
        <f>V31</f>
        <v/>
      </c>
      <c r="W38" s="58">
        <f>W31</f>
        <v/>
      </c>
      <c r="X38" s="58">
        <f>X31</f>
        <v/>
      </c>
      <c r="Y38" s="58">
        <f>Y31</f>
        <v/>
      </c>
      <c r="Z38" s="58">
        <f>Z31</f>
        <v/>
      </c>
      <c r="AA38" s="58">
        <f>AA31</f>
        <v/>
      </c>
      <c r="AB38" s="58">
        <f>AB31</f>
        <v/>
      </c>
      <c r="AC38" s="58">
        <f>AC31</f>
        <v/>
      </c>
      <c r="AD38" s="58">
        <f>AD31</f>
        <v/>
      </c>
      <c r="AE38" s="58">
        <f>AE31</f>
        <v/>
      </c>
      <c r="AF38" s="58">
        <f>AF31</f>
        <v/>
      </c>
      <c r="AG38" s="58">
        <f>AG31</f>
        <v/>
      </c>
      <c r="AH38" s="58">
        <f>AH31</f>
        <v/>
      </c>
      <c r="AI38" s="58">
        <f>AI31</f>
        <v/>
      </c>
      <c r="AJ38" s="58">
        <f>AJ31</f>
        <v/>
      </c>
      <c r="AK38" s="58">
        <f>AK31</f>
        <v/>
      </c>
      <c r="AL38" s="58">
        <f>AL31</f>
        <v/>
      </c>
    </row>
    <row r="40">
      <c r="A40" s="31" t="inlineStr">
        <is>
          <t>ARR GROWTH WATERFALL</t>
        </is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</row>
    <row r="41">
      <c r="A41" s="33" t="inlineStr">
        <is>
          <t>Opening ARR</t>
        </is>
      </c>
      <c r="B41" s="34" t="inlineStr">
        <is>
          <t>$</t>
        </is>
      </c>
      <c r="C41" s="58">
        <f>(C14+C27)*12</f>
        <v/>
      </c>
      <c r="D41" s="58">
        <f>(D14+D27)*12</f>
        <v/>
      </c>
      <c r="E41" s="58">
        <f>(E14+E27)*12</f>
        <v/>
      </c>
      <c r="F41" s="58">
        <f>(F14+F27)*12</f>
        <v/>
      </c>
      <c r="G41" s="58">
        <f>(G14+G27)*12</f>
        <v/>
      </c>
      <c r="H41" s="58">
        <f>(H14+H27)*12</f>
        <v/>
      </c>
      <c r="I41" s="58">
        <f>(I14+I27)*12</f>
        <v/>
      </c>
      <c r="J41" s="58">
        <f>(J14+J27)*12</f>
        <v/>
      </c>
      <c r="K41" s="58">
        <f>(K14+K27)*12</f>
        <v/>
      </c>
      <c r="L41" s="58">
        <f>(L14+L27)*12</f>
        <v/>
      </c>
      <c r="M41" s="58">
        <f>(M14+M27)*12</f>
        <v/>
      </c>
      <c r="N41" s="58">
        <f>(N14+N27)*12</f>
        <v/>
      </c>
      <c r="O41" s="58">
        <f>(O14+O27)*12</f>
        <v/>
      </c>
      <c r="P41" s="58">
        <f>(P14+P27)*12</f>
        <v/>
      </c>
      <c r="Q41" s="58">
        <f>(Q14+Q27)*12</f>
        <v/>
      </c>
      <c r="R41" s="58">
        <f>(R14+R27)*12</f>
        <v/>
      </c>
      <c r="S41" s="58">
        <f>(S14+S27)*12</f>
        <v/>
      </c>
      <c r="T41" s="58">
        <f>(T14+T27)*12</f>
        <v/>
      </c>
      <c r="U41" s="58">
        <f>(U14+U27)*12</f>
        <v/>
      </c>
      <c r="V41" s="58">
        <f>(V14+V27)*12</f>
        <v/>
      </c>
      <c r="W41" s="58">
        <f>(W14+W27)*12</f>
        <v/>
      </c>
      <c r="X41" s="58">
        <f>(X14+X27)*12</f>
        <v/>
      </c>
      <c r="Y41" s="58">
        <f>(Y14+Y27)*12</f>
        <v/>
      </c>
      <c r="Z41" s="58">
        <f>(Z14+Z27)*12</f>
        <v/>
      </c>
      <c r="AA41" s="58">
        <f>(AA14+AA27)*12</f>
        <v/>
      </c>
      <c r="AB41" s="58">
        <f>(AB14+AB27)*12</f>
        <v/>
      </c>
      <c r="AC41" s="58">
        <f>(AC14+AC27)*12</f>
        <v/>
      </c>
      <c r="AD41" s="58">
        <f>(AD14+AD27)*12</f>
        <v/>
      </c>
      <c r="AE41" s="58">
        <f>(AE14+AE27)*12</f>
        <v/>
      </c>
      <c r="AF41" s="58">
        <f>(AF14+AF27)*12</f>
        <v/>
      </c>
      <c r="AG41" s="58">
        <f>(AG14+AG27)*12</f>
        <v/>
      </c>
      <c r="AH41" s="58">
        <f>(AH14+AH27)*12</f>
        <v/>
      </c>
      <c r="AI41" s="58">
        <f>(AI14+AI27)*12</f>
        <v/>
      </c>
      <c r="AJ41" s="58">
        <f>(AJ14+AJ27)*12</f>
        <v/>
      </c>
      <c r="AK41" s="58">
        <f>(AK14+AK27)*12</f>
        <v/>
      </c>
      <c r="AL41" s="58">
        <f>(AL14+AL27)*12</f>
        <v/>
      </c>
    </row>
    <row r="42">
      <c r="A42" s="33" t="inlineStr">
        <is>
          <t>New business ARR</t>
        </is>
      </c>
      <c r="B42" s="34" t="inlineStr">
        <is>
          <t>$</t>
        </is>
      </c>
      <c r="C42" s="58">
        <f>(C15+C28)*12</f>
        <v/>
      </c>
      <c r="D42" s="58">
        <f>(D15+D28)*12</f>
        <v/>
      </c>
      <c r="E42" s="58">
        <f>(E15+E28)*12</f>
        <v/>
      </c>
      <c r="F42" s="58">
        <f>(F15+F28)*12</f>
        <v/>
      </c>
      <c r="G42" s="58">
        <f>(G15+G28)*12</f>
        <v/>
      </c>
      <c r="H42" s="58">
        <f>(H15+H28)*12</f>
        <v/>
      </c>
      <c r="I42" s="58">
        <f>(I15+I28)*12</f>
        <v/>
      </c>
      <c r="J42" s="58">
        <f>(J15+J28)*12</f>
        <v/>
      </c>
      <c r="K42" s="58">
        <f>(K15+K28)*12</f>
        <v/>
      </c>
      <c r="L42" s="58">
        <f>(L15+L28)*12</f>
        <v/>
      </c>
      <c r="M42" s="58">
        <f>(M15+M28)*12</f>
        <v/>
      </c>
      <c r="N42" s="58">
        <f>(N15+N28)*12</f>
        <v/>
      </c>
      <c r="O42" s="58">
        <f>(O15+O28)*12</f>
        <v/>
      </c>
      <c r="P42" s="58">
        <f>(P15+P28)*12</f>
        <v/>
      </c>
      <c r="Q42" s="58">
        <f>(Q15+Q28)*12</f>
        <v/>
      </c>
      <c r="R42" s="58">
        <f>(R15+R28)*12</f>
        <v/>
      </c>
      <c r="S42" s="58">
        <f>(S15+S28)*12</f>
        <v/>
      </c>
      <c r="T42" s="58">
        <f>(T15+T28)*12</f>
        <v/>
      </c>
      <c r="U42" s="58">
        <f>(U15+U28)*12</f>
        <v/>
      </c>
      <c r="V42" s="58">
        <f>(V15+V28)*12</f>
        <v/>
      </c>
      <c r="W42" s="58">
        <f>(W15+W28)*12</f>
        <v/>
      </c>
      <c r="X42" s="58">
        <f>(X15+X28)*12</f>
        <v/>
      </c>
      <c r="Y42" s="58">
        <f>(Y15+Y28)*12</f>
        <v/>
      </c>
      <c r="Z42" s="58">
        <f>(Z15+Z28)*12</f>
        <v/>
      </c>
      <c r="AA42" s="58">
        <f>(AA15+AA28)*12</f>
        <v/>
      </c>
      <c r="AB42" s="58">
        <f>(AB15+AB28)*12</f>
        <v/>
      </c>
      <c r="AC42" s="58">
        <f>(AC15+AC28)*12</f>
        <v/>
      </c>
      <c r="AD42" s="58">
        <f>(AD15+AD28)*12</f>
        <v/>
      </c>
      <c r="AE42" s="58">
        <f>(AE15+AE28)*12</f>
        <v/>
      </c>
      <c r="AF42" s="58">
        <f>(AF15+AF28)*12</f>
        <v/>
      </c>
      <c r="AG42" s="58">
        <f>(AG15+AG28)*12</f>
        <v/>
      </c>
      <c r="AH42" s="58">
        <f>(AH15+AH28)*12</f>
        <v/>
      </c>
      <c r="AI42" s="58">
        <f>(AI15+AI28)*12</f>
        <v/>
      </c>
      <c r="AJ42" s="58">
        <f>(AJ15+AJ28)*12</f>
        <v/>
      </c>
      <c r="AK42" s="58">
        <f>(AK15+AK28)*12</f>
        <v/>
      </c>
      <c r="AL42" s="58">
        <f>(AL15+AL28)*12</f>
        <v/>
      </c>
    </row>
    <row r="43">
      <c r="A43" s="33" t="inlineStr">
        <is>
          <t>Expansion ARR</t>
        </is>
      </c>
      <c r="B43" s="34" t="inlineStr">
        <is>
          <t>$</t>
        </is>
      </c>
      <c r="C43" s="58">
        <f>(C16+C29)*12</f>
        <v/>
      </c>
      <c r="D43" s="58">
        <f>(D16+D29)*12</f>
        <v/>
      </c>
      <c r="E43" s="58">
        <f>(E16+E29)*12</f>
        <v/>
      </c>
      <c r="F43" s="58">
        <f>(F16+F29)*12</f>
        <v/>
      </c>
      <c r="G43" s="58">
        <f>(G16+G29)*12</f>
        <v/>
      </c>
      <c r="H43" s="58">
        <f>(H16+H29)*12</f>
        <v/>
      </c>
      <c r="I43" s="58">
        <f>(I16+I29)*12</f>
        <v/>
      </c>
      <c r="J43" s="58">
        <f>(J16+J29)*12</f>
        <v/>
      </c>
      <c r="K43" s="58">
        <f>(K16+K29)*12</f>
        <v/>
      </c>
      <c r="L43" s="58">
        <f>(L16+L29)*12</f>
        <v/>
      </c>
      <c r="M43" s="58">
        <f>(M16+M29)*12</f>
        <v/>
      </c>
      <c r="N43" s="58">
        <f>(N16+N29)*12</f>
        <v/>
      </c>
      <c r="O43" s="58">
        <f>(O16+O29)*12</f>
        <v/>
      </c>
      <c r="P43" s="58">
        <f>(P16+P29)*12</f>
        <v/>
      </c>
      <c r="Q43" s="58">
        <f>(Q16+Q29)*12</f>
        <v/>
      </c>
      <c r="R43" s="58">
        <f>(R16+R29)*12</f>
        <v/>
      </c>
      <c r="S43" s="58">
        <f>(S16+S29)*12</f>
        <v/>
      </c>
      <c r="T43" s="58">
        <f>(T16+T29)*12</f>
        <v/>
      </c>
      <c r="U43" s="58">
        <f>(U16+U29)*12</f>
        <v/>
      </c>
      <c r="V43" s="58">
        <f>(V16+V29)*12</f>
        <v/>
      </c>
      <c r="W43" s="58">
        <f>(W16+W29)*12</f>
        <v/>
      </c>
      <c r="X43" s="58">
        <f>(X16+X29)*12</f>
        <v/>
      </c>
      <c r="Y43" s="58">
        <f>(Y16+Y29)*12</f>
        <v/>
      </c>
      <c r="Z43" s="58">
        <f>(Z16+Z29)*12</f>
        <v/>
      </c>
      <c r="AA43" s="58">
        <f>(AA16+AA29)*12</f>
        <v/>
      </c>
      <c r="AB43" s="58">
        <f>(AB16+AB29)*12</f>
        <v/>
      </c>
      <c r="AC43" s="58">
        <f>(AC16+AC29)*12</f>
        <v/>
      </c>
      <c r="AD43" s="58">
        <f>(AD16+AD29)*12</f>
        <v/>
      </c>
      <c r="AE43" s="58">
        <f>(AE16+AE29)*12</f>
        <v/>
      </c>
      <c r="AF43" s="58">
        <f>(AF16+AF29)*12</f>
        <v/>
      </c>
      <c r="AG43" s="58">
        <f>(AG16+AG29)*12</f>
        <v/>
      </c>
      <c r="AH43" s="58">
        <f>(AH16+AH29)*12</f>
        <v/>
      </c>
      <c r="AI43" s="58">
        <f>(AI16+AI29)*12</f>
        <v/>
      </c>
      <c r="AJ43" s="58">
        <f>(AJ16+AJ29)*12</f>
        <v/>
      </c>
      <c r="AK43" s="58">
        <f>(AK16+AK29)*12</f>
        <v/>
      </c>
      <c r="AL43" s="58">
        <f>(AL16+AL29)*12</f>
        <v/>
      </c>
    </row>
    <row r="44">
      <c r="A44" s="33" t="inlineStr">
        <is>
          <t>Churned ARR</t>
        </is>
      </c>
      <c r="B44" s="34" t="inlineStr">
        <is>
          <t>$</t>
        </is>
      </c>
      <c r="C44" s="58">
        <f>(C17+C30)*12</f>
        <v/>
      </c>
      <c r="D44" s="58">
        <f>(D17+D30)*12</f>
        <v/>
      </c>
      <c r="E44" s="58">
        <f>(E17+E30)*12</f>
        <v/>
      </c>
      <c r="F44" s="58">
        <f>(F17+F30)*12</f>
        <v/>
      </c>
      <c r="G44" s="58">
        <f>(G17+G30)*12</f>
        <v/>
      </c>
      <c r="H44" s="58">
        <f>(H17+H30)*12</f>
        <v/>
      </c>
      <c r="I44" s="58">
        <f>(I17+I30)*12</f>
        <v/>
      </c>
      <c r="J44" s="58">
        <f>(J17+J30)*12</f>
        <v/>
      </c>
      <c r="K44" s="58">
        <f>(K17+K30)*12</f>
        <v/>
      </c>
      <c r="L44" s="58">
        <f>(L17+L30)*12</f>
        <v/>
      </c>
      <c r="M44" s="58">
        <f>(M17+M30)*12</f>
        <v/>
      </c>
      <c r="N44" s="58">
        <f>(N17+N30)*12</f>
        <v/>
      </c>
      <c r="O44" s="58">
        <f>(O17+O30)*12</f>
        <v/>
      </c>
      <c r="P44" s="58">
        <f>(P17+P30)*12</f>
        <v/>
      </c>
      <c r="Q44" s="58">
        <f>(Q17+Q30)*12</f>
        <v/>
      </c>
      <c r="R44" s="58">
        <f>(R17+R30)*12</f>
        <v/>
      </c>
      <c r="S44" s="58">
        <f>(S17+S30)*12</f>
        <v/>
      </c>
      <c r="T44" s="58">
        <f>(T17+T30)*12</f>
        <v/>
      </c>
      <c r="U44" s="58">
        <f>(U17+U30)*12</f>
        <v/>
      </c>
      <c r="V44" s="58">
        <f>(V17+V30)*12</f>
        <v/>
      </c>
      <c r="W44" s="58">
        <f>(W17+W30)*12</f>
        <v/>
      </c>
      <c r="X44" s="58">
        <f>(X17+X30)*12</f>
        <v/>
      </c>
      <c r="Y44" s="58">
        <f>(Y17+Y30)*12</f>
        <v/>
      </c>
      <c r="Z44" s="58">
        <f>(Z17+Z30)*12</f>
        <v/>
      </c>
      <c r="AA44" s="58">
        <f>(AA17+AA30)*12</f>
        <v/>
      </c>
      <c r="AB44" s="58">
        <f>(AB17+AB30)*12</f>
        <v/>
      </c>
      <c r="AC44" s="58">
        <f>(AC17+AC30)*12</f>
        <v/>
      </c>
      <c r="AD44" s="58">
        <f>(AD17+AD30)*12</f>
        <v/>
      </c>
      <c r="AE44" s="58">
        <f>(AE17+AE30)*12</f>
        <v/>
      </c>
      <c r="AF44" s="58">
        <f>(AF17+AF30)*12</f>
        <v/>
      </c>
      <c r="AG44" s="58">
        <f>(AG17+AG30)*12</f>
        <v/>
      </c>
      <c r="AH44" s="58">
        <f>(AH17+AH30)*12</f>
        <v/>
      </c>
      <c r="AI44" s="58">
        <f>(AI17+AI30)*12</f>
        <v/>
      </c>
      <c r="AJ44" s="58">
        <f>(AJ17+AJ30)*12</f>
        <v/>
      </c>
      <c r="AK44" s="58">
        <f>(AK17+AK30)*12</f>
        <v/>
      </c>
      <c r="AL44" s="58">
        <f>(AL17+AL30)*12</f>
        <v/>
      </c>
    </row>
    <row r="45">
      <c r="A45" s="59" t="inlineStr">
        <is>
          <t>Closing ARR</t>
        </is>
      </c>
      <c r="B45" s="60" t="inlineStr">
        <is>
          <t>$</t>
        </is>
      </c>
      <c r="C45" s="61">
        <f>C41+C42+C43+C44</f>
        <v/>
      </c>
      <c r="D45" s="61">
        <f>D41+D42+D43+D44</f>
        <v/>
      </c>
      <c r="E45" s="61">
        <f>E41+E42+E43+E44</f>
        <v/>
      </c>
      <c r="F45" s="61">
        <f>F41+F42+F43+F44</f>
        <v/>
      </c>
      <c r="G45" s="61">
        <f>G41+G42+G43+G44</f>
        <v/>
      </c>
      <c r="H45" s="61">
        <f>H41+H42+H43+H44</f>
        <v/>
      </c>
      <c r="I45" s="61">
        <f>I41+I42+I43+I44</f>
        <v/>
      </c>
      <c r="J45" s="61">
        <f>J41+J42+J43+J44</f>
        <v/>
      </c>
      <c r="K45" s="61">
        <f>K41+K42+K43+K44</f>
        <v/>
      </c>
      <c r="L45" s="61">
        <f>L41+L42+L43+L44</f>
        <v/>
      </c>
      <c r="M45" s="61">
        <f>M41+M42+M43+M44</f>
        <v/>
      </c>
      <c r="N45" s="61">
        <f>N41+N42+N43+N44</f>
        <v/>
      </c>
      <c r="O45" s="61">
        <f>O41+O42+O43+O44</f>
        <v/>
      </c>
      <c r="P45" s="61">
        <f>P41+P42+P43+P44</f>
        <v/>
      </c>
      <c r="Q45" s="61">
        <f>Q41+Q42+Q43+Q44</f>
        <v/>
      </c>
      <c r="R45" s="61">
        <f>R41+R42+R43+R44</f>
        <v/>
      </c>
      <c r="S45" s="61">
        <f>S41+S42+S43+S44</f>
        <v/>
      </c>
      <c r="T45" s="61">
        <f>T41+T42+T43+T44</f>
        <v/>
      </c>
      <c r="U45" s="61">
        <f>U41+U42+U43+U44</f>
        <v/>
      </c>
      <c r="V45" s="61">
        <f>V41+V42+V43+V44</f>
        <v/>
      </c>
      <c r="W45" s="61">
        <f>W41+W42+W43+W44</f>
        <v/>
      </c>
      <c r="X45" s="61">
        <f>X41+X42+X43+X44</f>
        <v/>
      </c>
      <c r="Y45" s="61">
        <f>Y41+Y42+Y43+Y44</f>
        <v/>
      </c>
      <c r="Z45" s="61">
        <f>Z41+Z42+Z43+Z44</f>
        <v/>
      </c>
      <c r="AA45" s="61">
        <f>AA41+AA42+AA43+AA44</f>
        <v/>
      </c>
      <c r="AB45" s="61">
        <f>AB41+AB42+AB43+AB44</f>
        <v/>
      </c>
      <c r="AC45" s="61">
        <f>AC41+AC42+AC43+AC44</f>
        <v/>
      </c>
      <c r="AD45" s="61">
        <f>AD41+AD42+AD43+AD44</f>
        <v/>
      </c>
      <c r="AE45" s="61">
        <f>AE41+AE42+AE43+AE44</f>
        <v/>
      </c>
      <c r="AF45" s="61">
        <f>AF41+AF42+AF43+AF44</f>
        <v/>
      </c>
      <c r="AG45" s="61">
        <f>AG41+AG42+AG43+AG44</f>
        <v/>
      </c>
      <c r="AH45" s="61">
        <f>AH41+AH42+AH43+AH44</f>
        <v/>
      </c>
      <c r="AI45" s="61">
        <f>AI41+AI42+AI43+AI44</f>
        <v/>
      </c>
      <c r="AJ45" s="61">
        <f>AJ41+AJ42+AJ43+AJ44</f>
        <v/>
      </c>
      <c r="AK45" s="61">
        <f>AK41+AK42+AK43+AK44</f>
        <v/>
      </c>
      <c r="AL45" s="61">
        <f>AL41+AL42+AL43+AL44</f>
        <v/>
      </c>
    </row>
    <row r="47">
      <c r="A47" s="31" t="inlineStr">
        <is>
          <t>BILLINGS AND DEFERRED REVENUE  |  feeds the Cash Flow</t>
        </is>
      </c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</row>
    <row r="48">
      <c r="A48" s="33" t="inlineStr">
        <is>
          <t>Mid-market billings (monthly)</t>
        </is>
      </c>
      <c r="B48" s="34" t="inlineStr">
        <is>
          <t>$</t>
        </is>
      </c>
      <c r="C48" s="58">
        <f>C31</f>
        <v/>
      </c>
      <c r="D48" s="58">
        <f>D31</f>
        <v/>
      </c>
      <c r="E48" s="58">
        <f>E31</f>
        <v/>
      </c>
      <c r="F48" s="58">
        <f>F31</f>
        <v/>
      </c>
      <c r="G48" s="58">
        <f>G31</f>
        <v/>
      </c>
      <c r="H48" s="58">
        <f>H31</f>
        <v/>
      </c>
      <c r="I48" s="58">
        <f>I31</f>
        <v/>
      </c>
      <c r="J48" s="58">
        <f>J31</f>
        <v/>
      </c>
      <c r="K48" s="58">
        <f>K31</f>
        <v/>
      </c>
      <c r="L48" s="58">
        <f>L31</f>
        <v/>
      </c>
      <c r="M48" s="58">
        <f>M31</f>
        <v/>
      </c>
      <c r="N48" s="58">
        <f>N31</f>
        <v/>
      </c>
      <c r="O48" s="58">
        <f>O31</f>
        <v/>
      </c>
      <c r="P48" s="58">
        <f>P31</f>
        <v/>
      </c>
      <c r="Q48" s="58">
        <f>Q31</f>
        <v/>
      </c>
      <c r="R48" s="58">
        <f>R31</f>
        <v/>
      </c>
      <c r="S48" s="58">
        <f>S31</f>
        <v/>
      </c>
      <c r="T48" s="58">
        <f>T31</f>
        <v/>
      </c>
      <c r="U48" s="58">
        <f>U31</f>
        <v/>
      </c>
      <c r="V48" s="58">
        <f>V31</f>
        <v/>
      </c>
      <c r="W48" s="58">
        <f>W31</f>
        <v/>
      </c>
      <c r="X48" s="58">
        <f>X31</f>
        <v/>
      </c>
      <c r="Y48" s="58">
        <f>Y31</f>
        <v/>
      </c>
      <c r="Z48" s="58">
        <f>Z31</f>
        <v/>
      </c>
      <c r="AA48" s="58">
        <f>AA31</f>
        <v/>
      </c>
      <c r="AB48" s="58">
        <f>AB31</f>
        <v/>
      </c>
      <c r="AC48" s="58">
        <f>AC31</f>
        <v/>
      </c>
      <c r="AD48" s="58">
        <f>AD31</f>
        <v/>
      </c>
      <c r="AE48" s="58">
        <f>AE31</f>
        <v/>
      </c>
      <c r="AF48" s="58">
        <f>AF31</f>
        <v/>
      </c>
      <c r="AG48" s="58">
        <f>AG31</f>
        <v/>
      </c>
      <c r="AH48" s="58">
        <f>AH31</f>
        <v/>
      </c>
      <c r="AI48" s="58">
        <f>AI31</f>
        <v/>
      </c>
      <c r="AJ48" s="58">
        <f>AJ31</f>
        <v/>
      </c>
      <c r="AK48" s="58">
        <f>AK31</f>
        <v/>
      </c>
      <c r="AL48" s="58">
        <f>AL31</f>
        <v/>
      </c>
    </row>
    <row r="49">
      <c r="A49" s="33" t="inlineStr">
        <is>
          <t>Enterprise billings (annual upfront)</t>
        </is>
      </c>
      <c r="B49" s="34" t="inlineStr">
        <is>
          <t>$</t>
        </is>
      </c>
      <c r="C49" s="58">
        <f>C15*12+(C14+C16+C17)</f>
        <v/>
      </c>
      <c r="D49" s="58">
        <f>D15*12+(D14+D16+D17)</f>
        <v/>
      </c>
      <c r="E49" s="58">
        <f>E15*12+(E14+E16+E17)</f>
        <v/>
      </c>
      <c r="F49" s="58">
        <f>F15*12+(F14+F16+F17)</f>
        <v/>
      </c>
      <c r="G49" s="58">
        <f>G15*12+(G14+G16+G17)</f>
        <v/>
      </c>
      <c r="H49" s="58">
        <f>H15*12+(H14+H16+H17)</f>
        <v/>
      </c>
      <c r="I49" s="58">
        <f>I15*12+(I14+I16+I17)</f>
        <v/>
      </c>
      <c r="J49" s="58">
        <f>J15*12+(J14+J16+J17)</f>
        <v/>
      </c>
      <c r="K49" s="58">
        <f>K15*12+(K14+K16+K17)</f>
        <v/>
      </c>
      <c r="L49" s="58">
        <f>L15*12+(L14+L16+L17)</f>
        <v/>
      </c>
      <c r="M49" s="58">
        <f>M15*12+(M14+M16+M17)</f>
        <v/>
      </c>
      <c r="N49" s="58">
        <f>N15*12+(N14+N16+N17)</f>
        <v/>
      </c>
      <c r="O49" s="58">
        <f>O15*12+(O14+O16+O17)</f>
        <v/>
      </c>
      <c r="P49" s="58">
        <f>P15*12+(P14+P16+P17)</f>
        <v/>
      </c>
      <c r="Q49" s="58">
        <f>Q15*12+(Q14+Q16+Q17)</f>
        <v/>
      </c>
      <c r="R49" s="58">
        <f>R15*12+(R14+R16+R17)</f>
        <v/>
      </c>
      <c r="S49" s="58">
        <f>S15*12+(S14+S16+S17)</f>
        <v/>
      </c>
      <c r="T49" s="58">
        <f>T15*12+(T14+T16+T17)</f>
        <v/>
      </c>
      <c r="U49" s="58">
        <f>U15*12+(U14+U16+U17)</f>
        <v/>
      </c>
      <c r="V49" s="58">
        <f>V15*12+(V14+V16+V17)</f>
        <v/>
      </c>
      <c r="W49" s="58">
        <f>W15*12+(W14+W16+W17)</f>
        <v/>
      </c>
      <c r="X49" s="58">
        <f>X15*12+(X14+X16+X17)</f>
        <v/>
      </c>
      <c r="Y49" s="58">
        <f>Y15*12+(Y14+Y16+Y17)</f>
        <v/>
      </c>
      <c r="Z49" s="58">
        <f>Z15*12+(Z14+Z16+Z17)</f>
        <v/>
      </c>
      <c r="AA49" s="58">
        <f>AA15*12+(AA14+AA16+AA17)</f>
        <v/>
      </c>
      <c r="AB49" s="58">
        <f>AB15*12+(AB14+AB16+AB17)</f>
        <v/>
      </c>
      <c r="AC49" s="58">
        <f>AC15*12+(AC14+AC16+AC17)</f>
        <v/>
      </c>
      <c r="AD49" s="58">
        <f>AD15*12+(AD14+AD16+AD17)</f>
        <v/>
      </c>
      <c r="AE49" s="58">
        <f>AE15*12+(AE14+AE16+AE17)</f>
        <v/>
      </c>
      <c r="AF49" s="58">
        <f>AF15*12+(AF14+AF16+AF17)</f>
        <v/>
      </c>
      <c r="AG49" s="58">
        <f>AG15*12+(AG14+AG16+AG17)</f>
        <v/>
      </c>
      <c r="AH49" s="58">
        <f>AH15*12+(AH14+AH16+AH17)</f>
        <v/>
      </c>
      <c r="AI49" s="58">
        <f>AI15*12+(AI14+AI16+AI17)</f>
        <v/>
      </c>
      <c r="AJ49" s="58">
        <f>AJ15*12+(AJ14+AJ16+AJ17)</f>
        <v/>
      </c>
      <c r="AK49" s="58">
        <f>AK15*12+(AK14+AK16+AK17)</f>
        <v/>
      </c>
      <c r="AL49" s="58">
        <f>AL15*12+(AL14+AL16+AL17)</f>
        <v/>
      </c>
    </row>
    <row r="50">
      <c r="A50" s="33" t="inlineStr">
        <is>
          <t>Total billings</t>
        </is>
      </c>
      <c r="B50" s="34" t="inlineStr">
        <is>
          <t>$</t>
        </is>
      </c>
      <c r="C50" s="62">
        <f>C48+C49</f>
        <v/>
      </c>
      <c r="D50" s="62">
        <f>D48+D49</f>
        <v/>
      </c>
      <c r="E50" s="62">
        <f>E48+E49</f>
        <v/>
      </c>
      <c r="F50" s="62">
        <f>F48+F49</f>
        <v/>
      </c>
      <c r="G50" s="62">
        <f>G48+G49</f>
        <v/>
      </c>
      <c r="H50" s="62">
        <f>H48+H49</f>
        <v/>
      </c>
      <c r="I50" s="62">
        <f>I48+I49</f>
        <v/>
      </c>
      <c r="J50" s="62">
        <f>J48+J49</f>
        <v/>
      </c>
      <c r="K50" s="62">
        <f>K48+K49</f>
        <v/>
      </c>
      <c r="L50" s="62">
        <f>L48+L49</f>
        <v/>
      </c>
      <c r="M50" s="62">
        <f>M48+M49</f>
        <v/>
      </c>
      <c r="N50" s="62">
        <f>N48+N49</f>
        <v/>
      </c>
      <c r="O50" s="62">
        <f>O48+O49</f>
        <v/>
      </c>
      <c r="P50" s="62">
        <f>P48+P49</f>
        <v/>
      </c>
      <c r="Q50" s="62">
        <f>Q48+Q49</f>
        <v/>
      </c>
      <c r="R50" s="62">
        <f>R48+R49</f>
        <v/>
      </c>
      <c r="S50" s="62">
        <f>S48+S49</f>
        <v/>
      </c>
      <c r="T50" s="62">
        <f>T48+T49</f>
        <v/>
      </c>
      <c r="U50" s="62">
        <f>U48+U49</f>
        <v/>
      </c>
      <c r="V50" s="62">
        <f>V48+V49</f>
        <v/>
      </c>
      <c r="W50" s="62">
        <f>W48+W49</f>
        <v/>
      </c>
      <c r="X50" s="62">
        <f>X48+X49</f>
        <v/>
      </c>
      <c r="Y50" s="62">
        <f>Y48+Y49</f>
        <v/>
      </c>
      <c r="Z50" s="62">
        <f>Z48+Z49</f>
        <v/>
      </c>
      <c r="AA50" s="62">
        <f>AA48+AA49</f>
        <v/>
      </c>
      <c r="AB50" s="62">
        <f>AB48+AB49</f>
        <v/>
      </c>
      <c r="AC50" s="62">
        <f>AC48+AC49</f>
        <v/>
      </c>
      <c r="AD50" s="62">
        <f>AD48+AD49</f>
        <v/>
      </c>
      <c r="AE50" s="62">
        <f>AE48+AE49</f>
        <v/>
      </c>
      <c r="AF50" s="62">
        <f>AF48+AF49</f>
        <v/>
      </c>
      <c r="AG50" s="62">
        <f>AG48+AG49</f>
        <v/>
      </c>
      <c r="AH50" s="62">
        <f>AH48+AH49</f>
        <v/>
      </c>
      <c r="AI50" s="62">
        <f>AI48+AI49</f>
        <v/>
      </c>
      <c r="AJ50" s="62">
        <f>AJ48+AJ49</f>
        <v/>
      </c>
      <c r="AK50" s="62">
        <f>AK48+AK49</f>
        <v/>
      </c>
      <c r="AL50" s="62">
        <f>AL48+AL49</f>
        <v/>
      </c>
    </row>
    <row r="51">
      <c r="A51" s="33" t="inlineStr">
        <is>
          <t>Recognised revenue</t>
        </is>
      </c>
      <c r="B51" s="34" t="inlineStr">
        <is>
          <t>$</t>
        </is>
      </c>
      <c r="C51" s="58">
        <f>C36</f>
        <v/>
      </c>
      <c r="D51" s="58">
        <f>D36</f>
        <v/>
      </c>
      <c r="E51" s="58">
        <f>E36</f>
        <v/>
      </c>
      <c r="F51" s="58">
        <f>F36</f>
        <v/>
      </c>
      <c r="G51" s="58">
        <f>G36</f>
        <v/>
      </c>
      <c r="H51" s="58">
        <f>H36</f>
        <v/>
      </c>
      <c r="I51" s="58">
        <f>I36</f>
        <v/>
      </c>
      <c r="J51" s="58">
        <f>J36</f>
        <v/>
      </c>
      <c r="K51" s="58">
        <f>K36</f>
        <v/>
      </c>
      <c r="L51" s="58">
        <f>L36</f>
        <v/>
      </c>
      <c r="M51" s="58">
        <f>M36</f>
        <v/>
      </c>
      <c r="N51" s="58">
        <f>N36</f>
        <v/>
      </c>
      <c r="O51" s="58">
        <f>O36</f>
        <v/>
      </c>
      <c r="P51" s="58">
        <f>P36</f>
        <v/>
      </c>
      <c r="Q51" s="58">
        <f>Q36</f>
        <v/>
      </c>
      <c r="R51" s="58">
        <f>R36</f>
        <v/>
      </c>
      <c r="S51" s="58">
        <f>S36</f>
        <v/>
      </c>
      <c r="T51" s="58">
        <f>T36</f>
        <v/>
      </c>
      <c r="U51" s="58">
        <f>U36</f>
        <v/>
      </c>
      <c r="V51" s="58">
        <f>V36</f>
        <v/>
      </c>
      <c r="W51" s="58">
        <f>W36</f>
        <v/>
      </c>
      <c r="X51" s="58">
        <f>X36</f>
        <v/>
      </c>
      <c r="Y51" s="58">
        <f>Y36</f>
        <v/>
      </c>
      <c r="Z51" s="58">
        <f>Z36</f>
        <v/>
      </c>
      <c r="AA51" s="58">
        <f>AA36</f>
        <v/>
      </c>
      <c r="AB51" s="58">
        <f>AB36</f>
        <v/>
      </c>
      <c r="AC51" s="58">
        <f>AC36</f>
        <v/>
      </c>
      <c r="AD51" s="58">
        <f>AD36</f>
        <v/>
      </c>
      <c r="AE51" s="58">
        <f>AE36</f>
        <v/>
      </c>
      <c r="AF51" s="58">
        <f>AF36</f>
        <v/>
      </c>
      <c r="AG51" s="58">
        <f>AG36</f>
        <v/>
      </c>
      <c r="AH51" s="58">
        <f>AH36</f>
        <v/>
      </c>
      <c r="AI51" s="58">
        <f>AI36</f>
        <v/>
      </c>
      <c r="AJ51" s="58">
        <f>AJ36</f>
        <v/>
      </c>
      <c r="AK51" s="58">
        <f>AK36</f>
        <v/>
      </c>
      <c r="AL51" s="58">
        <f>AL36</f>
        <v/>
      </c>
    </row>
    <row r="52">
      <c r="A52" s="59" t="inlineStr">
        <is>
          <t>Movement in deferred revenue</t>
        </is>
      </c>
      <c r="B52" s="60" t="inlineStr">
        <is>
          <t>$</t>
        </is>
      </c>
      <c r="C52" s="61">
        <f>C50-C51</f>
        <v/>
      </c>
      <c r="D52" s="61">
        <f>D50-D51</f>
        <v/>
      </c>
      <c r="E52" s="61">
        <f>E50-E51</f>
        <v/>
      </c>
      <c r="F52" s="61">
        <f>F50-F51</f>
        <v/>
      </c>
      <c r="G52" s="61">
        <f>G50-G51</f>
        <v/>
      </c>
      <c r="H52" s="61">
        <f>H50-H51</f>
        <v/>
      </c>
      <c r="I52" s="61">
        <f>I50-I51</f>
        <v/>
      </c>
      <c r="J52" s="61">
        <f>J50-J51</f>
        <v/>
      </c>
      <c r="K52" s="61">
        <f>K50-K51</f>
        <v/>
      </c>
      <c r="L52" s="61">
        <f>L50-L51</f>
        <v/>
      </c>
      <c r="M52" s="61">
        <f>M50-M51</f>
        <v/>
      </c>
      <c r="N52" s="61">
        <f>N50-N51</f>
        <v/>
      </c>
      <c r="O52" s="61">
        <f>O50-O51</f>
        <v/>
      </c>
      <c r="P52" s="61">
        <f>P50-P51</f>
        <v/>
      </c>
      <c r="Q52" s="61">
        <f>Q50-Q51</f>
        <v/>
      </c>
      <c r="R52" s="61">
        <f>R50-R51</f>
        <v/>
      </c>
      <c r="S52" s="61">
        <f>S50-S51</f>
        <v/>
      </c>
      <c r="T52" s="61">
        <f>T50-T51</f>
        <v/>
      </c>
      <c r="U52" s="61">
        <f>U50-U51</f>
        <v/>
      </c>
      <c r="V52" s="61">
        <f>V50-V51</f>
        <v/>
      </c>
      <c r="W52" s="61">
        <f>W50-W51</f>
        <v/>
      </c>
      <c r="X52" s="61">
        <f>X50-X51</f>
        <v/>
      </c>
      <c r="Y52" s="61">
        <f>Y50-Y51</f>
        <v/>
      </c>
      <c r="Z52" s="61">
        <f>Z50-Z51</f>
        <v/>
      </c>
      <c r="AA52" s="61">
        <f>AA50-AA51</f>
        <v/>
      </c>
      <c r="AB52" s="61">
        <f>AB50-AB51</f>
        <v/>
      </c>
      <c r="AC52" s="61">
        <f>AC50-AC51</f>
        <v/>
      </c>
      <c r="AD52" s="61">
        <f>AD50-AD51</f>
        <v/>
      </c>
      <c r="AE52" s="61">
        <f>AE50-AE51</f>
        <v/>
      </c>
      <c r="AF52" s="61">
        <f>AF50-AF51</f>
        <v/>
      </c>
      <c r="AG52" s="61">
        <f>AG50-AG51</f>
        <v/>
      </c>
      <c r="AH52" s="61">
        <f>AH50-AH51</f>
        <v/>
      </c>
      <c r="AI52" s="61">
        <f>AI50-AI51</f>
        <v/>
      </c>
      <c r="AJ52" s="61">
        <f>AJ50-AJ51</f>
        <v/>
      </c>
      <c r="AK52" s="61">
        <f>AK50-AK51</f>
        <v/>
      </c>
      <c r="AL52" s="61">
        <f>AL50-AL51</f>
        <v/>
      </c>
    </row>
    <row r="54" ht="24" customHeight="1">
      <c r="A54" s="64" t="inlineStr">
        <is>
          <t>Enterprise billings = new ARR invoiced upfront at signing, plus 1/12 of the surviving and expanded base renewing each month (expansion co-terms and is billed from the next renewal). Mid-market bills monthly, so billings equal recognised revenue.</t>
        </is>
      </c>
    </row>
  </sheetData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Analytics&amp;RRevenue Model</oddHeader>
    <oddFooter>&amp;LFP&amp;&amp;A Planning Model v1.0&amp;CConfidential&amp;RPage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6F8FAF"/>
    <outlinePr summaryBelow="1" summaryRight="1"/>
    <pageSetUpPr fitToPage="1"/>
  </sheetPr>
  <dimension ref="A1:AP36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328125" defaultRowHeight="14.5"/>
  <cols>
    <col width="36" customWidth="1" min="1" max="1"/>
    <col width="9" customWidth="1" min="2" max="2"/>
    <col width="11.453125" customWidth="1" min="3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Headcount and Payroll</t>
        </is>
      </c>
      <c r="B2" s="14" t="n"/>
      <c r="C2" s="14" t="n"/>
      <c r="D2" s="14" t="n"/>
      <c r="E2" s="17" t="inlineStr">
        <is>
          <t>hiring plan, headcount and fully loaded cost by department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>
      <c r="A5" s="54" t="inlineStr">
        <is>
          <t>Month</t>
        </is>
      </c>
      <c r="C5" s="55">
        <f>ModelStart</f>
        <v/>
      </c>
      <c r="D5" s="55">
        <f>EDATE(C5,1)</f>
        <v/>
      </c>
      <c r="E5" s="55">
        <f>EDATE(D5,1)</f>
        <v/>
      </c>
      <c r="F5" s="55">
        <f>EDATE(E5,1)</f>
        <v/>
      </c>
      <c r="G5" s="55">
        <f>EDATE(F5,1)</f>
        <v/>
      </c>
      <c r="H5" s="55">
        <f>EDATE(G5,1)</f>
        <v/>
      </c>
      <c r="I5" s="55">
        <f>EDATE(H5,1)</f>
        <v/>
      </c>
      <c r="J5" s="55">
        <f>EDATE(I5,1)</f>
        <v/>
      </c>
      <c r="K5" s="55">
        <f>EDATE(J5,1)</f>
        <v/>
      </c>
      <c r="L5" s="55">
        <f>EDATE(K5,1)</f>
        <v/>
      </c>
      <c r="M5" s="55">
        <f>EDATE(L5,1)</f>
        <v/>
      </c>
      <c r="N5" s="55">
        <f>EDATE(M5,1)</f>
        <v/>
      </c>
      <c r="O5" s="55">
        <f>EDATE(N5,1)</f>
        <v/>
      </c>
      <c r="P5" s="55">
        <f>EDATE(O5,1)</f>
        <v/>
      </c>
      <c r="Q5" s="55">
        <f>EDATE(P5,1)</f>
        <v/>
      </c>
      <c r="R5" s="55">
        <f>EDATE(Q5,1)</f>
        <v/>
      </c>
      <c r="S5" s="55">
        <f>EDATE(R5,1)</f>
        <v/>
      </c>
      <c r="T5" s="55">
        <f>EDATE(S5,1)</f>
        <v/>
      </c>
      <c r="U5" s="55">
        <f>EDATE(T5,1)</f>
        <v/>
      </c>
      <c r="V5" s="55">
        <f>EDATE(U5,1)</f>
        <v/>
      </c>
      <c r="W5" s="55">
        <f>EDATE(V5,1)</f>
        <v/>
      </c>
      <c r="X5" s="55">
        <f>EDATE(W5,1)</f>
        <v/>
      </c>
      <c r="Y5" s="55">
        <f>EDATE(X5,1)</f>
        <v/>
      </c>
      <c r="Z5" s="55">
        <f>EDATE(Y5,1)</f>
        <v/>
      </c>
      <c r="AA5" s="55">
        <f>EDATE(Z5,1)</f>
        <v/>
      </c>
      <c r="AB5" s="55">
        <f>EDATE(AA5,1)</f>
        <v/>
      </c>
      <c r="AC5" s="55">
        <f>EDATE(AB5,1)</f>
        <v/>
      </c>
      <c r="AD5" s="55">
        <f>EDATE(AC5,1)</f>
        <v/>
      </c>
      <c r="AE5" s="55">
        <f>EDATE(AD5,1)</f>
        <v/>
      </c>
      <c r="AF5" s="55">
        <f>EDATE(AE5,1)</f>
        <v/>
      </c>
      <c r="AG5" s="55">
        <f>EDATE(AF5,1)</f>
        <v/>
      </c>
      <c r="AH5" s="55">
        <f>EDATE(AG5,1)</f>
        <v/>
      </c>
      <c r="AI5" s="55">
        <f>EDATE(AH5,1)</f>
        <v/>
      </c>
      <c r="AJ5" s="55">
        <f>EDATE(AI5,1)</f>
        <v/>
      </c>
      <c r="AK5" s="55">
        <f>EDATE(AJ5,1)</f>
        <v/>
      </c>
      <c r="AL5" s="55">
        <f>EDATE(AK5,1)</f>
        <v/>
      </c>
    </row>
    <row r="7">
      <c r="A7" s="31" t="inlineStr">
        <is>
          <t>HIRES PER MONTH  |  annual plan / 12 x scenario hiring pace</t>
        </is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  <c r="AB7" s="32" t="n"/>
      <c r="AC7" s="32" t="n"/>
      <c r="AD7" s="32" t="n"/>
      <c r="AE7" s="32" t="n"/>
      <c r="AF7" s="32" t="n"/>
      <c r="AG7" s="32" t="n"/>
      <c r="AH7" s="32" t="n"/>
      <c r="AI7" s="32" t="n"/>
      <c r="AJ7" s="32" t="n"/>
      <c r="AK7" s="32" t="n"/>
      <c r="AL7" s="32" t="n"/>
      <c r="AM7" s="32" t="n"/>
      <c r="AN7" s="32" t="n"/>
      <c r="AO7" s="32" t="n"/>
      <c r="AP7" s="32" t="n"/>
    </row>
    <row r="8">
      <c r="A8" s="33" t="inlineStr">
        <is>
          <t>Engineering</t>
        </is>
      </c>
      <c r="B8" s="34" t="inlineStr">
        <is>
          <t>#</t>
        </is>
      </c>
      <c r="C8" s="56">
        <f>_xlfn.XLOOKUP(YEAR(C$5),A_HireYears,_xlfn.XLOOKUP($A8,A_DeptNames,A_DeptHires))/12*L_HirePace</f>
        <v/>
      </c>
      <c r="D8" s="56">
        <f>_xlfn.XLOOKUP(YEAR(D$5),A_HireYears,_xlfn.XLOOKUP($A8,A_DeptNames,A_DeptHires))/12*L_HirePace</f>
        <v/>
      </c>
      <c r="E8" s="56">
        <f>_xlfn.XLOOKUP(YEAR(E$5),A_HireYears,_xlfn.XLOOKUP($A8,A_DeptNames,A_DeptHires))/12*L_HirePace</f>
        <v/>
      </c>
      <c r="F8" s="56">
        <f>_xlfn.XLOOKUP(YEAR(F$5),A_HireYears,_xlfn.XLOOKUP($A8,A_DeptNames,A_DeptHires))/12*L_HirePace</f>
        <v/>
      </c>
      <c r="G8" s="56">
        <f>_xlfn.XLOOKUP(YEAR(G$5),A_HireYears,_xlfn.XLOOKUP($A8,A_DeptNames,A_DeptHires))/12*L_HirePace</f>
        <v/>
      </c>
      <c r="H8" s="56">
        <f>_xlfn.XLOOKUP(YEAR(H$5),A_HireYears,_xlfn.XLOOKUP($A8,A_DeptNames,A_DeptHires))/12*L_HirePace</f>
        <v/>
      </c>
      <c r="I8" s="56">
        <f>_xlfn.XLOOKUP(YEAR(I$5),A_HireYears,_xlfn.XLOOKUP($A8,A_DeptNames,A_DeptHires))/12*L_HirePace</f>
        <v/>
      </c>
      <c r="J8" s="56">
        <f>_xlfn.XLOOKUP(YEAR(J$5),A_HireYears,_xlfn.XLOOKUP($A8,A_DeptNames,A_DeptHires))/12*L_HirePace</f>
        <v/>
      </c>
      <c r="K8" s="56">
        <f>_xlfn.XLOOKUP(YEAR(K$5),A_HireYears,_xlfn.XLOOKUP($A8,A_DeptNames,A_DeptHires))/12*L_HirePace</f>
        <v/>
      </c>
      <c r="L8" s="56">
        <f>_xlfn.XLOOKUP(YEAR(L$5),A_HireYears,_xlfn.XLOOKUP($A8,A_DeptNames,A_DeptHires))/12*L_HirePace</f>
        <v/>
      </c>
      <c r="M8" s="56">
        <f>_xlfn.XLOOKUP(YEAR(M$5),A_HireYears,_xlfn.XLOOKUP($A8,A_DeptNames,A_DeptHires))/12*L_HirePace</f>
        <v/>
      </c>
      <c r="N8" s="56">
        <f>_xlfn.XLOOKUP(YEAR(N$5),A_HireYears,_xlfn.XLOOKUP($A8,A_DeptNames,A_DeptHires))/12*L_HirePace</f>
        <v/>
      </c>
      <c r="O8" s="56">
        <f>_xlfn.XLOOKUP(YEAR(O$5),A_HireYears,_xlfn.XLOOKUP($A8,A_DeptNames,A_DeptHires))/12*L_HirePace</f>
        <v/>
      </c>
      <c r="P8" s="56">
        <f>_xlfn.XLOOKUP(YEAR(P$5),A_HireYears,_xlfn.XLOOKUP($A8,A_DeptNames,A_DeptHires))/12*L_HirePace</f>
        <v/>
      </c>
      <c r="Q8" s="56">
        <f>_xlfn.XLOOKUP(YEAR(Q$5),A_HireYears,_xlfn.XLOOKUP($A8,A_DeptNames,A_DeptHires))/12*L_HirePace</f>
        <v/>
      </c>
      <c r="R8" s="56">
        <f>_xlfn.XLOOKUP(YEAR(R$5),A_HireYears,_xlfn.XLOOKUP($A8,A_DeptNames,A_DeptHires))/12*L_HirePace</f>
        <v/>
      </c>
      <c r="S8" s="56">
        <f>_xlfn.XLOOKUP(YEAR(S$5),A_HireYears,_xlfn.XLOOKUP($A8,A_DeptNames,A_DeptHires))/12*L_HirePace</f>
        <v/>
      </c>
      <c r="T8" s="56">
        <f>_xlfn.XLOOKUP(YEAR(T$5),A_HireYears,_xlfn.XLOOKUP($A8,A_DeptNames,A_DeptHires))/12*L_HirePace</f>
        <v/>
      </c>
      <c r="U8" s="56">
        <f>_xlfn.XLOOKUP(YEAR(U$5),A_HireYears,_xlfn.XLOOKUP($A8,A_DeptNames,A_DeptHires))/12*L_HirePace</f>
        <v/>
      </c>
      <c r="V8" s="56">
        <f>_xlfn.XLOOKUP(YEAR(V$5),A_HireYears,_xlfn.XLOOKUP($A8,A_DeptNames,A_DeptHires))/12*L_HirePace</f>
        <v/>
      </c>
      <c r="W8" s="56">
        <f>_xlfn.XLOOKUP(YEAR(W$5),A_HireYears,_xlfn.XLOOKUP($A8,A_DeptNames,A_DeptHires))/12*L_HirePace</f>
        <v/>
      </c>
      <c r="X8" s="56">
        <f>_xlfn.XLOOKUP(YEAR(X$5),A_HireYears,_xlfn.XLOOKUP($A8,A_DeptNames,A_DeptHires))/12*L_HirePace</f>
        <v/>
      </c>
      <c r="Y8" s="56">
        <f>_xlfn.XLOOKUP(YEAR(Y$5),A_HireYears,_xlfn.XLOOKUP($A8,A_DeptNames,A_DeptHires))/12*L_HirePace</f>
        <v/>
      </c>
      <c r="Z8" s="56">
        <f>_xlfn.XLOOKUP(YEAR(Z$5),A_HireYears,_xlfn.XLOOKUP($A8,A_DeptNames,A_DeptHires))/12*L_HirePace</f>
        <v/>
      </c>
      <c r="AA8" s="56">
        <f>_xlfn.XLOOKUP(YEAR(AA$5),A_HireYears,_xlfn.XLOOKUP($A8,A_DeptNames,A_DeptHires))/12*L_HirePace</f>
        <v/>
      </c>
      <c r="AB8" s="56">
        <f>_xlfn.XLOOKUP(YEAR(AB$5),A_HireYears,_xlfn.XLOOKUP($A8,A_DeptNames,A_DeptHires))/12*L_HirePace</f>
        <v/>
      </c>
      <c r="AC8" s="56">
        <f>_xlfn.XLOOKUP(YEAR(AC$5),A_HireYears,_xlfn.XLOOKUP($A8,A_DeptNames,A_DeptHires))/12*L_HirePace</f>
        <v/>
      </c>
      <c r="AD8" s="56">
        <f>_xlfn.XLOOKUP(YEAR(AD$5),A_HireYears,_xlfn.XLOOKUP($A8,A_DeptNames,A_DeptHires))/12*L_HirePace</f>
        <v/>
      </c>
      <c r="AE8" s="56">
        <f>_xlfn.XLOOKUP(YEAR(AE$5),A_HireYears,_xlfn.XLOOKUP($A8,A_DeptNames,A_DeptHires))/12*L_HirePace</f>
        <v/>
      </c>
      <c r="AF8" s="56">
        <f>_xlfn.XLOOKUP(YEAR(AF$5),A_HireYears,_xlfn.XLOOKUP($A8,A_DeptNames,A_DeptHires))/12*L_HirePace</f>
        <v/>
      </c>
      <c r="AG8" s="56">
        <f>_xlfn.XLOOKUP(YEAR(AG$5),A_HireYears,_xlfn.XLOOKUP($A8,A_DeptNames,A_DeptHires))/12*L_HirePace</f>
        <v/>
      </c>
      <c r="AH8" s="56">
        <f>_xlfn.XLOOKUP(YEAR(AH$5),A_HireYears,_xlfn.XLOOKUP($A8,A_DeptNames,A_DeptHires))/12*L_HirePace</f>
        <v/>
      </c>
      <c r="AI8" s="56">
        <f>_xlfn.XLOOKUP(YEAR(AI$5),A_HireYears,_xlfn.XLOOKUP($A8,A_DeptNames,A_DeptHires))/12*L_HirePace</f>
        <v/>
      </c>
      <c r="AJ8" s="56">
        <f>_xlfn.XLOOKUP(YEAR(AJ$5),A_HireYears,_xlfn.XLOOKUP($A8,A_DeptNames,A_DeptHires))/12*L_HirePace</f>
        <v/>
      </c>
      <c r="AK8" s="56">
        <f>_xlfn.XLOOKUP(YEAR(AK$5),A_HireYears,_xlfn.XLOOKUP($A8,A_DeptNames,A_DeptHires))/12*L_HirePace</f>
        <v/>
      </c>
      <c r="AL8" s="56">
        <f>_xlfn.XLOOKUP(YEAR(AL$5),A_HireYears,_xlfn.XLOOKUP($A8,A_DeptNames,A_DeptHires))/12*L_HirePace</f>
        <v/>
      </c>
    </row>
    <row r="9">
      <c r="A9" s="33" t="inlineStr">
        <is>
          <t>Product</t>
        </is>
      </c>
      <c r="B9" s="34" t="inlineStr">
        <is>
          <t>#</t>
        </is>
      </c>
      <c r="C9" s="56">
        <f>_xlfn.XLOOKUP(YEAR(C$5),A_HireYears,_xlfn.XLOOKUP($A9,A_DeptNames,A_DeptHires))/12*L_HirePace</f>
        <v/>
      </c>
      <c r="D9" s="56">
        <f>_xlfn.XLOOKUP(YEAR(D$5),A_HireYears,_xlfn.XLOOKUP($A9,A_DeptNames,A_DeptHires))/12*L_HirePace</f>
        <v/>
      </c>
      <c r="E9" s="56">
        <f>_xlfn.XLOOKUP(YEAR(E$5),A_HireYears,_xlfn.XLOOKUP($A9,A_DeptNames,A_DeptHires))/12*L_HirePace</f>
        <v/>
      </c>
      <c r="F9" s="56">
        <f>_xlfn.XLOOKUP(YEAR(F$5),A_HireYears,_xlfn.XLOOKUP($A9,A_DeptNames,A_DeptHires))/12*L_HirePace</f>
        <v/>
      </c>
      <c r="G9" s="56">
        <f>_xlfn.XLOOKUP(YEAR(G$5),A_HireYears,_xlfn.XLOOKUP($A9,A_DeptNames,A_DeptHires))/12*L_HirePace</f>
        <v/>
      </c>
      <c r="H9" s="56">
        <f>_xlfn.XLOOKUP(YEAR(H$5),A_HireYears,_xlfn.XLOOKUP($A9,A_DeptNames,A_DeptHires))/12*L_HirePace</f>
        <v/>
      </c>
      <c r="I9" s="56">
        <f>_xlfn.XLOOKUP(YEAR(I$5),A_HireYears,_xlfn.XLOOKUP($A9,A_DeptNames,A_DeptHires))/12*L_HirePace</f>
        <v/>
      </c>
      <c r="J9" s="56">
        <f>_xlfn.XLOOKUP(YEAR(J$5),A_HireYears,_xlfn.XLOOKUP($A9,A_DeptNames,A_DeptHires))/12*L_HirePace</f>
        <v/>
      </c>
      <c r="K9" s="56">
        <f>_xlfn.XLOOKUP(YEAR(K$5),A_HireYears,_xlfn.XLOOKUP($A9,A_DeptNames,A_DeptHires))/12*L_HirePace</f>
        <v/>
      </c>
      <c r="L9" s="56">
        <f>_xlfn.XLOOKUP(YEAR(L$5),A_HireYears,_xlfn.XLOOKUP($A9,A_DeptNames,A_DeptHires))/12*L_HirePace</f>
        <v/>
      </c>
      <c r="M9" s="56">
        <f>_xlfn.XLOOKUP(YEAR(M$5),A_HireYears,_xlfn.XLOOKUP($A9,A_DeptNames,A_DeptHires))/12*L_HirePace</f>
        <v/>
      </c>
      <c r="N9" s="56">
        <f>_xlfn.XLOOKUP(YEAR(N$5),A_HireYears,_xlfn.XLOOKUP($A9,A_DeptNames,A_DeptHires))/12*L_HirePace</f>
        <v/>
      </c>
      <c r="O9" s="56">
        <f>_xlfn.XLOOKUP(YEAR(O$5),A_HireYears,_xlfn.XLOOKUP($A9,A_DeptNames,A_DeptHires))/12*L_HirePace</f>
        <v/>
      </c>
      <c r="P9" s="56">
        <f>_xlfn.XLOOKUP(YEAR(P$5),A_HireYears,_xlfn.XLOOKUP($A9,A_DeptNames,A_DeptHires))/12*L_HirePace</f>
        <v/>
      </c>
      <c r="Q9" s="56">
        <f>_xlfn.XLOOKUP(YEAR(Q$5),A_HireYears,_xlfn.XLOOKUP($A9,A_DeptNames,A_DeptHires))/12*L_HirePace</f>
        <v/>
      </c>
      <c r="R9" s="56">
        <f>_xlfn.XLOOKUP(YEAR(R$5),A_HireYears,_xlfn.XLOOKUP($A9,A_DeptNames,A_DeptHires))/12*L_HirePace</f>
        <v/>
      </c>
      <c r="S9" s="56">
        <f>_xlfn.XLOOKUP(YEAR(S$5),A_HireYears,_xlfn.XLOOKUP($A9,A_DeptNames,A_DeptHires))/12*L_HirePace</f>
        <v/>
      </c>
      <c r="T9" s="56">
        <f>_xlfn.XLOOKUP(YEAR(T$5),A_HireYears,_xlfn.XLOOKUP($A9,A_DeptNames,A_DeptHires))/12*L_HirePace</f>
        <v/>
      </c>
      <c r="U9" s="56">
        <f>_xlfn.XLOOKUP(YEAR(U$5),A_HireYears,_xlfn.XLOOKUP($A9,A_DeptNames,A_DeptHires))/12*L_HirePace</f>
        <v/>
      </c>
      <c r="V9" s="56">
        <f>_xlfn.XLOOKUP(YEAR(V$5),A_HireYears,_xlfn.XLOOKUP($A9,A_DeptNames,A_DeptHires))/12*L_HirePace</f>
        <v/>
      </c>
      <c r="W9" s="56">
        <f>_xlfn.XLOOKUP(YEAR(W$5),A_HireYears,_xlfn.XLOOKUP($A9,A_DeptNames,A_DeptHires))/12*L_HirePace</f>
        <v/>
      </c>
      <c r="X9" s="56">
        <f>_xlfn.XLOOKUP(YEAR(X$5),A_HireYears,_xlfn.XLOOKUP($A9,A_DeptNames,A_DeptHires))/12*L_HirePace</f>
        <v/>
      </c>
      <c r="Y9" s="56">
        <f>_xlfn.XLOOKUP(YEAR(Y$5),A_HireYears,_xlfn.XLOOKUP($A9,A_DeptNames,A_DeptHires))/12*L_HirePace</f>
        <v/>
      </c>
      <c r="Z9" s="56">
        <f>_xlfn.XLOOKUP(YEAR(Z$5),A_HireYears,_xlfn.XLOOKUP($A9,A_DeptNames,A_DeptHires))/12*L_HirePace</f>
        <v/>
      </c>
      <c r="AA9" s="56">
        <f>_xlfn.XLOOKUP(YEAR(AA$5),A_HireYears,_xlfn.XLOOKUP($A9,A_DeptNames,A_DeptHires))/12*L_HirePace</f>
        <v/>
      </c>
      <c r="AB9" s="56">
        <f>_xlfn.XLOOKUP(YEAR(AB$5),A_HireYears,_xlfn.XLOOKUP($A9,A_DeptNames,A_DeptHires))/12*L_HirePace</f>
        <v/>
      </c>
      <c r="AC9" s="56">
        <f>_xlfn.XLOOKUP(YEAR(AC$5),A_HireYears,_xlfn.XLOOKUP($A9,A_DeptNames,A_DeptHires))/12*L_HirePace</f>
        <v/>
      </c>
      <c r="AD9" s="56">
        <f>_xlfn.XLOOKUP(YEAR(AD$5),A_HireYears,_xlfn.XLOOKUP($A9,A_DeptNames,A_DeptHires))/12*L_HirePace</f>
        <v/>
      </c>
      <c r="AE9" s="56">
        <f>_xlfn.XLOOKUP(YEAR(AE$5),A_HireYears,_xlfn.XLOOKUP($A9,A_DeptNames,A_DeptHires))/12*L_HirePace</f>
        <v/>
      </c>
      <c r="AF9" s="56">
        <f>_xlfn.XLOOKUP(YEAR(AF$5),A_HireYears,_xlfn.XLOOKUP($A9,A_DeptNames,A_DeptHires))/12*L_HirePace</f>
        <v/>
      </c>
      <c r="AG9" s="56">
        <f>_xlfn.XLOOKUP(YEAR(AG$5),A_HireYears,_xlfn.XLOOKUP($A9,A_DeptNames,A_DeptHires))/12*L_HirePace</f>
        <v/>
      </c>
      <c r="AH9" s="56">
        <f>_xlfn.XLOOKUP(YEAR(AH$5),A_HireYears,_xlfn.XLOOKUP($A9,A_DeptNames,A_DeptHires))/12*L_HirePace</f>
        <v/>
      </c>
      <c r="AI9" s="56">
        <f>_xlfn.XLOOKUP(YEAR(AI$5),A_HireYears,_xlfn.XLOOKUP($A9,A_DeptNames,A_DeptHires))/12*L_HirePace</f>
        <v/>
      </c>
      <c r="AJ9" s="56">
        <f>_xlfn.XLOOKUP(YEAR(AJ$5),A_HireYears,_xlfn.XLOOKUP($A9,A_DeptNames,A_DeptHires))/12*L_HirePace</f>
        <v/>
      </c>
      <c r="AK9" s="56">
        <f>_xlfn.XLOOKUP(YEAR(AK$5),A_HireYears,_xlfn.XLOOKUP($A9,A_DeptNames,A_DeptHires))/12*L_HirePace</f>
        <v/>
      </c>
      <c r="AL9" s="56">
        <f>_xlfn.XLOOKUP(YEAR(AL$5),A_HireYears,_xlfn.XLOOKUP($A9,A_DeptNames,A_DeptHires))/12*L_HirePace</f>
        <v/>
      </c>
    </row>
    <row r="10">
      <c r="A10" s="33" t="inlineStr">
        <is>
          <t>Sales</t>
        </is>
      </c>
      <c r="B10" s="34" t="inlineStr">
        <is>
          <t>#</t>
        </is>
      </c>
      <c r="C10" s="56">
        <f>_xlfn.XLOOKUP(YEAR(C$5),A_HireYears,_xlfn.XLOOKUP($A10,A_DeptNames,A_DeptHires))/12*L_HirePace</f>
        <v/>
      </c>
      <c r="D10" s="56">
        <f>_xlfn.XLOOKUP(YEAR(D$5),A_HireYears,_xlfn.XLOOKUP($A10,A_DeptNames,A_DeptHires))/12*L_HirePace</f>
        <v/>
      </c>
      <c r="E10" s="56">
        <f>_xlfn.XLOOKUP(YEAR(E$5),A_HireYears,_xlfn.XLOOKUP($A10,A_DeptNames,A_DeptHires))/12*L_HirePace</f>
        <v/>
      </c>
      <c r="F10" s="56">
        <f>_xlfn.XLOOKUP(YEAR(F$5),A_HireYears,_xlfn.XLOOKUP($A10,A_DeptNames,A_DeptHires))/12*L_HirePace</f>
        <v/>
      </c>
      <c r="G10" s="56">
        <f>_xlfn.XLOOKUP(YEAR(G$5),A_HireYears,_xlfn.XLOOKUP($A10,A_DeptNames,A_DeptHires))/12*L_HirePace</f>
        <v/>
      </c>
      <c r="H10" s="56">
        <f>_xlfn.XLOOKUP(YEAR(H$5),A_HireYears,_xlfn.XLOOKUP($A10,A_DeptNames,A_DeptHires))/12*L_HirePace</f>
        <v/>
      </c>
      <c r="I10" s="56">
        <f>_xlfn.XLOOKUP(YEAR(I$5),A_HireYears,_xlfn.XLOOKUP($A10,A_DeptNames,A_DeptHires))/12*L_HirePace</f>
        <v/>
      </c>
      <c r="J10" s="56">
        <f>_xlfn.XLOOKUP(YEAR(J$5),A_HireYears,_xlfn.XLOOKUP($A10,A_DeptNames,A_DeptHires))/12*L_HirePace</f>
        <v/>
      </c>
      <c r="K10" s="56">
        <f>_xlfn.XLOOKUP(YEAR(K$5),A_HireYears,_xlfn.XLOOKUP($A10,A_DeptNames,A_DeptHires))/12*L_HirePace</f>
        <v/>
      </c>
      <c r="L10" s="56">
        <f>_xlfn.XLOOKUP(YEAR(L$5),A_HireYears,_xlfn.XLOOKUP($A10,A_DeptNames,A_DeptHires))/12*L_HirePace</f>
        <v/>
      </c>
      <c r="M10" s="56">
        <f>_xlfn.XLOOKUP(YEAR(M$5),A_HireYears,_xlfn.XLOOKUP($A10,A_DeptNames,A_DeptHires))/12*L_HirePace</f>
        <v/>
      </c>
      <c r="N10" s="56">
        <f>_xlfn.XLOOKUP(YEAR(N$5),A_HireYears,_xlfn.XLOOKUP($A10,A_DeptNames,A_DeptHires))/12*L_HirePace</f>
        <v/>
      </c>
      <c r="O10" s="56">
        <f>_xlfn.XLOOKUP(YEAR(O$5),A_HireYears,_xlfn.XLOOKUP($A10,A_DeptNames,A_DeptHires))/12*L_HirePace</f>
        <v/>
      </c>
      <c r="P10" s="56">
        <f>_xlfn.XLOOKUP(YEAR(P$5),A_HireYears,_xlfn.XLOOKUP($A10,A_DeptNames,A_DeptHires))/12*L_HirePace</f>
        <v/>
      </c>
      <c r="Q10" s="56">
        <f>_xlfn.XLOOKUP(YEAR(Q$5),A_HireYears,_xlfn.XLOOKUP($A10,A_DeptNames,A_DeptHires))/12*L_HirePace</f>
        <v/>
      </c>
      <c r="R10" s="56">
        <f>_xlfn.XLOOKUP(YEAR(R$5),A_HireYears,_xlfn.XLOOKUP($A10,A_DeptNames,A_DeptHires))/12*L_HirePace</f>
        <v/>
      </c>
      <c r="S10" s="56">
        <f>_xlfn.XLOOKUP(YEAR(S$5),A_HireYears,_xlfn.XLOOKUP($A10,A_DeptNames,A_DeptHires))/12*L_HirePace</f>
        <v/>
      </c>
      <c r="T10" s="56">
        <f>_xlfn.XLOOKUP(YEAR(T$5),A_HireYears,_xlfn.XLOOKUP($A10,A_DeptNames,A_DeptHires))/12*L_HirePace</f>
        <v/>
      </c>
      <c r="U10" s="56">
        <f>_xlfn.XLOOKUP(YEAR(U$5),A_HireYears,_xlfn.XLOOKUP($A10,A_DeptNames,A_DeptHires))/12*L_HirePace</f>
        <v/>
      </c>
      <c r="V10" s="56">
        <f>_xlfn.XLOOKUP(YEAR(V$5),A_HireYears,_xlfn.XLOOKUP($A10,A_DeptNames,A_DeptHires))/12*L_HirePace</f>
        <v/>
      </c>
      <c r="W10" s="56">
        <f>_xlfn.XLOOKUP(YEAR(W$5),A_HireYears,_xlfn.XLOOKUP($A10,A_DeptNames,A_DeptHires))/12*L_HirePace</f>
        <v/>
      </c>
      <c r="X10" s="56">
        <f>_xlfn.XLOOKUP(YEAR(X$5),A_HireYears,_xlfn.XLOOKUP($A10,A_DeptNames,A_DeptHires))/12*L_HirePace</f>
        <v/>
      </c>
      <c r="Y10" s="56">
        <f>_xlfn.XLOOKUP(YEAR(Y$5),A_HireYears,_xlfn.XLOOKUP($A10,A_DeptNames,A_DeptHires))/12*L_HirePace</f>
        <v/>
      </c>
      <c r="Z10" s="56">
        <f>_xlfn.XLOOKUP(YEAR(Z$5),A_HireYears,_xlfn.XLOOKUP($A10,A_DeptNames,A_DeptHires))/12*L_HirePace</f>
        <v/>
      </c>
      <c r="AA10" s="56">
        <f>_xlfn.XLOOKUP(YEAR(AA$5),A_HireYears,_xlfn.XLOOKUP($A10,A_DeptNames,A_DeptHires))/12*L_HirePace</f>
        <v/>
      </c>
      <c r="AB10" s="56">
        <f>_xlfn.XLOOKUP(YEAR(AB$5),A_HireYears,_xlfn.XLOOKUP($A10,A_DeptNames,A_DeptHires))/12*L_HirePace</f>
        <v/>
      </c>
      <c r="AC10" s="56">
        <f>_xlfn.XLOOKUP(YEAR(AC$5),A_HireYears,_xlfn.XLOOKUP($A10,A_DeptNames,A_DeptHires))/12*L_HirePace</f>
        <v/>
      </c>
      <c r="AD10" s="56">
        <f>_xlfn.XLOOKUP(YEAR(AD$5),A_HireYears,_xlfn.XLOOKUP($A10,A_DeptNames,A_DeptHires))/12*L_HirePace</f>
        <v/>
      </c>
      <c r="AE10" s="56">
        <f>_xlfn.XLOOKUP(YEAR(AE$5),A_HireYears,_xlfn.XLOOKUP($A10,A_DeptNames,A_DeptHires))/12*L_HirePace</f>
        <v/>
      </c>
      <c r="AF10" s="56">
        <f>_xlfn.XLOOKUP(YEAR(AF$5),A_HireYears,_xlfn.XLOOKUP($A10,A_DeptNames,A_DeptHires))/12*L_HirePace</f>
        <v/>
      </c>
      <c r="AG10" s="56">
        <f>_xlfn.XLOOKUP(YEAR(AG$5),A_HireYears,_xlfn.XLOOKUP($A10,A_DeptNames,A_DeptHires))/12*L_HirePace</f>
        <v/>
      </c>
      <c r="AH10" s="56">
        <f>_xlfn.XLOOKUP(YEAR(AH$5),A_HireYears,_xlfn.XLOOKUP($A10,A_DeptNames,A_DeptHires))/12*L_HirePace</f>
        <v/>
      </c>
      <c r="AI10" s="56">
        <f>_xlfn.XLOOKUP(YEAR(AI$5),A_HireYears,_xlfn.XLOOKUP($A10,A_DeptNames,A_DeptHires))/12*L_HirePace</f>
        <v/>
      </c>
      <c r="AJ10" s="56">
        <f>_xlfn.XLOOKUP(YEAR(AJ$5),A_HireYears,_xlfn.XLOOKUP($A10,A_DeptNames,A_DeptHires))/12*L_HirePace</f>
        <v/>
      </c>
      <c r="AK10" s="56">
        <f>_xlfn.XLOOKUP(YEAR(AK$5),A_HireYears,_xlfn.XLOOKUP($A10,A_DeptNames,A_DeptHires))/12*L_HirePace</f>
        <v/>
      </c>
      <c r="AL10" s="56">
        <f>_xlfn.XLOOKUP(YEAR(AL$5),A_HireYears,_xlfn.XLOOKUP($A10,A_DeptNames,A_DeptHires))/12*L_HirePace</f>
        <v/>
      </c>
    </row>
    <row r="11">
      <c r="A11" s="33" t="inlineStr">
        <is>
          <t>Marketing</t>
        </is>
      </c>
      <c r="B11" s="34" t="inlineStr">
        <is>
          <t>#</t>
        </is>
      </c>
      <c r="C11" s="56">
        <f>_xlfn.XLOOKUP(YEAR(C$5),A_HireYears,_xlfn.XLOOKUP($A11,A_DeptNames,A_DeptHires))/12*L_HirePace</f>
        <v/>
      </c>
      <c r="D11" s="56">
        <f>_xlfn.XLOOKUP(YEAR(D$5),A_HireYears,_xlfn.XLOOKUP($A11,A_DeptNames,A_DeptHires))/12*L_HirePace</f>
        <v/>
      </c>
      <c r="E11" s="56">
        <f>_xlfn.XLOOKUP(YEAR(E$5),A_HireYears,_xlfn.XLOOKUP($A11,A_DeptNames,A_DeptHires))/12*L_HirePace</f>
        <v/>
      </c>
      <c r="F11" s="56">
        <f>_xlfn.XLOOKUP(YEAR(F$5),A_HireYears,_xlfn.XLOOKUP($A11,A_DeptNames,A_DeptHires))/12*L_HirePace</f>
        <v/>
      </c>
      <c r="G11" s="56">
        <f>_xlfn.XLOOKUP(YEAR(G$5),A_HireYears,_xlfn.XLOOKUP($A11,A_DeptNames,A_DeptHires))/12*L_HirePace</f>
        <v/>
      </c>
      <c r="H11" s="56">
        <f>_xlfn.XLOOKUP(YEAR(H$5),A_HireYears,_xlfn.XLOOKUP($A11,A_DeptNames,A_DeptHires))/12*L_HirePace</f>
        <v/>
      </c>
      <c r="I11" s="56">
        <f>_xlfn.XLOOKUP(YEAR(I$5),A_HireYears,_xlfn.XLOOKUP($A11,A_DeptNames,A_DeptHires))/12*L_HirePace</f>
        <v/>
      </c>
      <c r="J11" s="56">
        <f>_xlfn.XLOOKUP(YEAR(J$5),A_HireYears,_xlfn.XLOOKUP($A11,A_DeptNames,A_DeptHires))/12*L_HirePace</f>
        <v/>
      </c>
      <c r="K11" s="56">
        <f>_xlfn.XLOOKUP(YEAR(K$5),A_HireYears,_xlfn.XLOOKUP($A11,A_DeptNames,A_DeptHires))/12*L_HirePace</f>
        <v/>
      </c>
      <c r="L11" s="56">
        <f>_xlfn.XLOOKUP(YEAR(L$5),A_HireYears,_xlfn.XLOOKUP($A11,A_DeptNames,A_DeptHires))/12*L_HirePace</f>
        <v/>
      </c>
      <c r="M11" s="56">
        <f>_xlfn.XLOOKUP(YEAR(M$5),A_HireYears,_xlfn.XLOOKUP($A11,A_DeptNames,A_DeptHires))/12*L_HirePace</f>
        <v/>
      </c>
      <c r="N11" s="56">
        <f>_xlfn.XLOOKUP(YEAR(N$5),A_HireYears,_xlfn.XLOOKUP($A11,A_DeptNames,A_DeptHires))/12*L_HirePace</f>
        <v/>
      </c>
      <c r="O11" s="56">
        <f>_xlfn.XLOOKUP(YEAR(O$5),A_HireYears,_xlfn.XLOOKUP($A11,A_DeptNames,A_DeptHires))/12*L_HirePace</f>
        <v/>
      </c>
      <c r="P11" s="56">
        <f>_xlfn.XLOOKUP(YEAR(P$5),A_HireYears,_xlfn.XLOOKUP($A11,A_DeptNames,A_DeptHires))/12*L_HirePace</f>
        <v/>
      </c>
      <c r="Q11" s="56">
        <f>_xlfn.XLOOKUP(YEAR(Q$5),A_HireYears,_xlfn.XLOOKUP($A11,A_DeptNames,A_DeptHires))/12*L_HirePace</f>
        <v/>
      </c>
      <c r="R11" s="56">
        <f>_xlfn.XLOOKUP(YEAR(R$5),A_HireYears,_xlfn.XLOOKUP($A11,A_DeptNames,A_DeptHires))/12*L_HirePace</f>
        <v/>
      </c>
      <c r="S11" s="56">
        <f>_xlfn.XLOOKUP(YEAR(S$5),A_HireYears,_xlfn.XLOOKUP($A11,A_DeptNames,A_DeptHires))/12*L_HirePace</f>
        <v/>
      </c>
      <c r="T11" s="56">
        <f>_xlfn.XLOOKUP(YEAR(T$5),A_HireYears,_xlfn.XLOOKUP($A11,A_DeptNames,A_DeptHires))/12*L_HirePace</f>
        <v/>
      </c>
      <c r="U11" s="56">
        <f>_xlfn.XLOOKUP(YEAR(U$5),A_HireYears,_xlfn.XLOOKUP($A11,A_DeptNames,A_DeptHires))/12*L_HirePace</f>
        <v/>
      </c>
      <c r="V11" s="56">
        <f>_xlfn.XLOOKUP(YEAR(V$5),A_HireYears,_xlfn.XLOOKUP($A11,A_DeptNames,A_DeptHires))/12*L_HirePace</f>
        <v/>
      </c>
      <c r="W11" s="56">
        <f>_xlfn.XLOOKUP(YEAR(W$5),A_HireYears,_xlfn.XLOOKUP($A11,A_DeptNames,A_DeptHires))/12*L_HirePace</f>
        <v/>
      </c>
      <c r="X11" s="56">
        <f>_xlfn.XLOOKUP(YEAR(X$5),A_HireYears,_xlfn.XLOOKUP($A11,A_DeptNames,A_DeptHires))/12*L_HirePace</f>
        <v/>
      </c>
      <c r="Y11" s="56">
        <f>_xlfn.XLOOKUP(YEAR(Y$5),A_HireYears,_xlfn.XLOOKUP($A11,A_DeptNames,A_DeptHires))/12*L_HirePace</f>
        <v/>
      </c>
      <c r="Z11" s="56">
        <f>_xlfn.XLOOKUP(YEAR(Z$5),A_HireYears,_xlfn.XLOOKUP($A11,A_DeptNames,A_DeptHires))/12*L_HirePace</f>
        <v/>
      </c>
      <c r="AA11" s="56">
        <f>_xlfn.XLOOKUP(YEAR(AA$5),A_HireYears,_xlfn.XLOOKUP($A11,A_DeptNames,A_DeptHires))/12*L_HirePace</f>
        <v/>
      </c>
      <c r="AB11" s="56">
        <f>_xlfn.XLOOKUP(YEAR(AB$5),A_HireYears,_xlfn.XLOOKUP($A11,A_DeptNames,A_DeptHires))/12*L_HirePace</f>
        <v/>
      </c>
      <c r="AC11" s="56">
        <f>_xlfn.XLOOKUP(YEAR(AC$5),A_HireYears,_xlfn.XLOOKUP($A11,A_DeptNames,A_DeptHires))/12*L_HirePace</f>
        <v/>
      </c>
      <c r="AD11" s="56">
        <f>_xlfn.XLOOKUP(YEAR(AD$5),A_HireYears,_xlfn.XLOOKUP($A11,A_DeptNames,A_DeptHires))/12*L_HirePace</f>
        <v/>
      </c>
      <c r="AE11" s="56">
        <f>_xlfn.XLOOKUP(YEAR(AE$5),A_HireYears,_xlfn.XLOOKUP($A11,A_DeptNames,A_DeptHires))/12*L_HirePace</f>
        <v/>
      </c>
      <c r="AF11" s="56">
        <f>_xlfn.XLOOKUP(YEAR(AF$5),A_HireYears,_xlfn.XLOOKUP($A11,A_DeptNames,A_DeptHires))/12*L_HirePace</f>
        <v/>
      </c>
      <c r="AG11" s="56">
        <f>_xlfn.XLOOKUP(YEAR(AG$5),A_HireYears,_xlfn.XLOOKUP($A11,A_DeptNames,A_DeptHires))/12*L_HirePace</f>
        <v/>
      </c>
      <c r="AH11" s="56">
        <f>_xlfn.XLOOKUP(YEAR(AH$5),A_HireYears,_xlfn.XLOOKUP($A11,A_DeptNames,A_DeptHires))/12*L_HirePace</f>
        <v/>
      </c>
      <c r="AI11" s="56">
        <f>_xlfn.XLOOKUP(YEAR(AI$5),A_HireYears,_xlfn.XLOOKUP($A11,A_DeptNames,A_DeptHires))/12*L_HirePace</f>
        <v/>
      </c>
      <c r="AJ11" s="56">
        <f>_xlfn.XLOOKUP(YEAR(AJ$5),A_HireYears,_xlfn.XLOOKUP($A11,A_DeptNames,A_DeptHires))/12*L_HirePace</f>
        <v/>
      </c>
      <c r="AK11" s="56">
        <f>_xlfn.XLOOKUP(YEAR(AK$5),A_HireYears,_xlfn.XLOOKUP($A11,A_DeptNames,A_DeptHires))/12*L_HirePace</f>
        <v/>
      </c>
      <c r="AL11" s="56">
        <f>_xlfn.XLOOKUP(YEAR(AL$5),A_HireYears,_xlfn.XLOOKUP($A11,A_DeptNames,A_DeptHires))/12*L_HirePace</f>
        <v/>
      </c>
    </row>
    <row r="12">
      <c r="A12" s="33" t="inlineStr">
        <is>
          <t>Customer Success</t>
        </is>
      </c>
      <c r="B12" s="34" t="inlineStr">
        <is>
          <t>#</t>
        </is>
      </c>
      <c r="C12" s="56">
        <f>_xlfn.XLOOKUP(YEAR(C$5),A_HireYears,_xlfn.XLOOKUP($A12,A_DeptNames,A_DeptHires))/12*L_HirePace</f>
        <v/>
      </c>
      <c r="D12" s="56">
        <f>_xlfn.XLOOKUP(YEAR(D$5),A_HireYears,_xlfn.XLOOKUP($A12,A_DeptNames,A_DeptHires))/12*L_HirePace</f>
        <v/>
      </c>
      <c r="E12" s="56">
        <f>_xlfn.XLOOKUP(YEAR(E$5),A_HireYears,_xlfn.XLOOKUP($A12,A_DeptNames,A_DeptHires))/12*L_HirePace</f>
        <v/>
      </c>
      <c r="F12" s="56">
        <f>_xlfn.XLOOKUP(YEAR(F$5),A_HireYears,_xlfn.XLOOKUP($A12,A_DeptNames,A_DeptHires))/12*L_HirePace</f>
        <v/>
      </c>
      <c r="G12" s="56">
        <f>_xlfn.XLOOKUP(YEAR(G$5),A_HireYears,_xlfn.XLOOKUP($A12,A_DeptNames,A_DeptHires))/12*L_HirePace</f>
        <v/>
      </c>
      <c r="H12" s="56">
        <f>_xlfn.XLOOKUP(YEAR(H$5),A_HireYears,_xlfn.XLOOKUP($A12,A_DeptNames,A_DeptHires))/12*L_HirePace</f>
        <v/>
      </c>
      <c r="I12" s="56">
        <f>_xlfn.XLOOKUP(YEAR(I$5),A_HireYears,_xlfn.XLOOKUP($A12,A_DeptNames,A_DeptHires))/12*L_HirePace</f>
        <v/>
      </c>
      <c r="J12" s="56">
        <f>_xlfn.XLOOKUP(YEAR(J$5),A_HireYears,_xlfn.XLOOKUP($A12,A_DeptNames,A_DeptHires))/12*L_HirePace</f>
        <v/>
      </c>
      <c r="K12" s="56">
        <f>_xlfn.XLOOKUP(YEAR(K$5),A_HireYears,_xlfn.XLOOKUP($A12,A_DeptNames,A_DeptHires))/12*L_HirePace</f>
        <v/>
      </c>
      <c r="L12" s="56">
        <f>_xlfn.XLOOKUP(YEAR(L$5),A_HireYears,_xlfn.XLOOKUP($A12,A_DeptNames,A_DeptHires))/12*L_HirePace</f>
        <v/>
      </c>
      <c r="M12" s="56">
        <f>_xlfn.XLOOKUP(YEAR(M$5),A_HireYears,_xlfn.XLOOKUP($A12,A_DeptNames,A_DeptHires))/12*L_HirePace</f>
        <v/>
      </c>
      <c r="N12" s="56">
        <f>_xlfn.XLOOKUP(YEAR(N$5),A_HireYears,_xlfn.XLOOKUP($A12,A_DeptNames,A_DeptHires))/12*L_HirePace</f>
        <v/>
      </c>
      <c r="O12" s="56">
        <f>_xlfn.XLOOKUP(YEAR(O$5),A_HireYears,_xlfn.XLOOKUP($A12,A_DeptNames,A_DeptHires))/12*L_HirePace</f>
        <v/>
      </c>
      <c r="P12" s="56">
        <f>_xlfn.XLOOKUP(YEAR(P$5),A_HireYears,_xlfn.XLOOKUP($A12,A_DeptNames,A_DeptHires))/12*L_HirePace</f>
        <v/>
      </c>
      <c r="Q12" s="56">
        <f>_xlfn.XLOOKUP(YEAR(Q$5),A_HireYears,_xlfn.XLOOKUP($A12,A_DeptNames,A_DeptHires))/12*L_HirePace</f>
        <v/>
      </c>
      <c r="R12" s="56">
        <f>_xlfn.XLOOKUP(YEAR(R$5),A_HireYears,_xlfn.XLOOKUP($A12,A_DeptNames,A_DeptHires))/12*L_HirePace</f>
        <v/>
      </c>
      <c r="S12" s="56">
        <f>_xlfn.XLOOKUP(YEAR(S$5),A_HireYears,_xlfn.XLOOKUP($A12,A_DeptNames,A_DeptHires))/12*L_HirePace</f>
        <v/>
      </c>
      <c r="T12" s="56">
        <f>_xlfn.XLOOKUP(YEAR(T$5),A_HireYears,_xlfn.XLOOKUP($A12,A_DeptNames,A_DeptHires))/12*L_HirePace</f>
        <v/>
      </c>
      <c r="U12" s="56">
        <f>_xlfn.XLOOKUP(YEAR(U$5),A_HireYears,_xlfn.XLOOKUP($A12,A_DeptNames,A_DeptHires))/12*L_HirePace</f>
        <v/>
      </c>
      <c r="V12" s="56">
        <f>_xlfn.XLOOKUP(YEAR(V$5),A_HireYears,_xlfn.XLOOKUP($A12,A_DeptNames,A_DeptHires))/12*L_HirePace</f>
        <v/>
      </c>
      <c r="W12" s="56">
        <f>_xlfn.XLOOKUP(YEAR(W$5),A_HireYears,_xlfn.XLOOKUP($A12,A_DeptNames,A_DeptHires))/12*L_HirePace</f>
        <v/>
      </c>
      <c r="X12" s="56">
        <f>_xlfn.XLOOKUP(YEAR(X$5),A_HireYears,_xlfn.XLOOKUP($A12,A_DeptNames,A_DeptHires))/12*L_HirePace</f>
        <v/>
      </c>
      <c r="Y12" s="56">
        <f>_xlfn.XLOOKUP(YEAR(Y$5),A_HireYears,_xlfn.XLOOKUP($A12,A_DeptNames,A_DeptHires))/12*L_HirePace</f>
        <v/>
      </c>
      <c r="Z12" s="56">
        <f>_xlfn.XLOOKUP(YEAR(Z$5),A_HireYears,_xlfn.XLOOKUP($A12,A_DeptNames,A_DeptHires))/12*L_HirePace</f>
        <v/>
      </c>
      <c r="AA12" s="56">
        <f>_xlfn.XLOOKUP(YEAR(AA$5),A_HireYears,_xlfn.XLOOKUP($A12,A_DeptNames,A_DeptHires))/12*L_HirePace</f>
        <v/>
      </c>
      <c r="AB12" s="56">
        <f>_xlfn.XLOOKUP(YEAR(AB$5),A_HireYears,_xlfn.XLOOKUP($A12,A_DeptNames,A_DeptHires))/12*L_HirePace</f>
        <v/>
      </c>
      <c r="AC12" s="56">
        <f>_xlfn.XLOOKUP(YEAR(AC$5),A_HireYears,_xlfn.XLOOKUP($A12,A_DeptNames,A_DeptHires))/12*L_HirePace</f>
        <v/>
      </c>
      <c r="AD12" s="56">
        <f>_xlfn.XLOOKUP(YEAR(AD$5),A_HireYears,_xlfn.XLOOKUP($A12,A_DeptNames,A_DeptHires))/12*L_HirePace</f>
        <v/>
      </c>
      <c r="AE12" s="56">
        <f>_xlfn.XLOOKUP(YEAR(AE$5),A_HireYears,_xlfn.XLOOKUP($A12,A_DeptNames,A_DeptHires))/12*L_HirePace</f>
        <v/>
      </c>
      <c r="AF12" s="56">
        <f>_xlfn.XLOOKUP(YEAR(AF$5),A_HireYears,_xlfn.XLOOKUP($A12,A_DeptNames,A_DeptHires))/12*L_HirePace</f>
        <v/>
      </c>
      <c r="AG12" s="56">
        <f>_xlfn.XLOOKUP(YEAR(AG$5),A_HireYears,_xlfn.XLOOKUP($A12,A_DeptNames,A_DeptHires))/12*L_HirePace</f>
        <v/>
      </c>
      <c r="AH12" s="56">
        <f>_xlfn.XLOOKUP(YEAR(AH$5),A_HireYears,_xlfn.XLOOKUP($A12,A_DeptNames,A_DeptHires))/12*L_HirePace</f>
        <v/>
      </c>
      <c r="AI12" s="56">
        <f>_xlfn.XLOOKUP(YEAR(AI$5),A_HireYears,_xlfn.XLOOKUP($A12,A_DeptNames,A_DeptHires))/12*L_HirePace</f>
        <v/>
      </c>
      <c r="AJ12" s="56">
        <f>_xlfn.XLOOKUP(YEAR(AJ$5),A_HireYears,_xlfn.XLOOKUP($A12,A_DeptNames,A_DeptHires))/12*L_HirePace</f>
        <v/>
      </c>
      <c r="AK12" s="56">
        <f>_xlfn.XLOOKUP(YEAR(AK$5),A_HireYears,_xlfn.XLOOKUP($A12,A_DeptNames,A_DeptHires))/12*L_HirePace</f>
        <v/>
      </c>
      <c r="AL12" s="56">
        <f>_xlfn.XLOOKUP(YEAR(AL$5),A_HireYears,_xlfn.XLOOKUP($A12,A_DeptNames,A_DeptHires))/12*L_HirePace</f>
        <v/>
      </c>
    </row>
    <row r="13">
      <c r="A13" s="33" t="inlineStr">
        <is>
          <t>G&amp;A</t>
        </is>
      </c>
      <c r="B13" s="34" t="inlineStr">
        <is>
          <t>#</t>
        </is>
      </c>
      <c r="C13" s="56">
        <f>_xlfn.XLOOKUP(YEAR(C$5),A_HireYears,_xlfn.XLOOKUP($A13,A_DeptNames,A_DeptHires))/12*L_HirePace</f>
        <v/>
      </c>
      <c r="D13" s="56">
        <f>_xlfn.XLOOKUP(YEAR(D$5),A_HireYears,_xlfn.XLOOKUP($A13,A_DeptNames,A_DeptHires))/12*L_HirePace</f>
        <v/>
      </c>
      <c r="E13" s="56">
        <f>_xlfn.XLOOKUP(YEAR(E$5),A_HireYears,_xlfn.XLOOKUP($A13,A_DeptNames,A_DeptHires))/12*L_HirePace</f>
        <v/>
      </c>
      <c r="F13" s="56">
        <f>_xlfn.XLOOKUP(YEAR(F$5),A_HireYears,_xlfn.XLOOKUP($A13,A_DeptNames,A_DeptHires))/12*L_HirePace</f>
        <v/>
      </c>
      <c r="G13" s="56">
        <f>_xlfn.XLOOKUP(YEAR(G$5),A_HireYears,_xlfn.XLOOKUP($A13,A_DeptNames,A_DeptHires))/12*L_HirePace</f>
        <v/>
      </c>
      <c r="H13" s="56">
        <f>_xlfn.XLOOKUP(YEAR(H$5),A_HireYears,_xlfn.XLOOKUP($A13,A_DeptNames,A_DeptHires))/12*L_HirePace</f>
        <v/>
      </c>
      <c r="I13" s="56">
        <f>_xlfn.XLOOKUP(YEAR(I$5),A_HireYears,_xlfn.XLOOKUP($A13,A_DeptNames,A_DeptHires))/12*L_HirePace</f>
        <v/>
      </c>
      <c r="J13" s="56">
        <f>_xlfn.XLOOKUP(YEAR(J$5),A_HireYears,_xlfn.XLOOKUP($A13,A_DeptNames,A_DeptHires))/12*L_HirePace</f>
        <v/>
      </c>
      <c r="K13" s="56">
        <f>_xlfn.XLOOKUP(YEAR(K$5),A_HireYears,_xlfn.XLOOKUP($A13,A_DeptNames,A_DeptHires))/12*L_HirePace</f>
        <v/>
      </c>
      <c r="L13" s="56">
        <f>_xlfn.XLOOKUP(YEAR(L$5),A_HireYears,_xlfn.XLOOKUP($A13,A_DeptNames,A_DeptHires))/12*L_HirePace</f>
        <v/>
      </c>
      <c r="M13" s="56">
        <f>_xlfn.XLOOKUP(YEAR(M$5),A_HireYears,_xlfn.XLOOKUP($A13,A_DeptNames,A_DeptHires))/12*L_HirePace</f>
        <v/>
      </c>
      <c r="N13" s="56">
        <f>_xlfn.XLOOKUP(YEAR(N$5),A_HireYears,_xlfn.XLOOKUP($A13,A_DeptNames,A_DeptHires))/12*L_HirePace</f>
        <v/>
      </c>
      <c r="O13" s="56">
        <f>_xlfn.XLOOKUP(YEAR(O$5),A_HireYears,_xlfn.XLOOKUP($A13,A_DeptNames,A_DeptHires))/12*L_HirePace</f>
        <v/>
      </c>
      <c r="P13" s="56">
        <f>_xlfn.XLOOKUP(YEAR(P$5),A_HireYears,_xlfn.XLOOKUP($A13,A_DeptNames,A_DeptHires))/12*L_HirePace</f>
        <v/>
      </c>
      <c r="Q13" s="56">
        <f>_xlfn.XLOOKUP(YEAR(Q$5),A_HireYears,_xlfn.XLOOKUP($A13,A_DeptNames,A_DeptHires))/12*L_HirePace</f>
        <v/>
      </c>
      <c r="R13" s="56">
        <f>_xlfn.XLOOKUP(YEAR(R$5),A_HireYears,_xlfn.XLOOKUP($A13,A_DeptNames,A_DeptHires))/12*L_HirePace</f>
        <v/>
      </c>
      <c r="S13" s="56">
        <f>_xlfn.XLOOKUP(YEAR(S$5),A_HireYears,_xlfn.XLOOKUP($A13,A_DeptNames,A_DeptHires))/12*L_HirePace</f>
        <v/>
      </c>
      <c r="T13" s="56">
        <f>_xlfn.XLOOKUP(YEAR(T$5),A_HireYears,_xlfn.XLOOKUP($A13,A_DeptNames,A_DeptHires))/12*L_HirePace</f>
        <v/>
      </c>
      <c r="U13" s="56">
        <f>_xlfn.XLOOKUP(YEAR(U$5),A_HireYears,_xlfn.XLOOKUP($A13,A_DeptNames,A_DeptHires))/12*L_HirePace</f>
        <v/>
      </c>
      <c r="V13" s="56">
        <f>_xlfn.XLOOKUP(YEAR(V$5),A_HireYears,_xlfn.XLOOKUP($A13,A_DeptNames,A_DeptHires))/12*L_HirePace</f>
        <v/>
      </c>
      <c r="W13" s="56">
        <f>_xlfn.XLOOKUP(YEAR(W$5),A_HireYears,_xlfn.XLOOKUP($A13,A_DeptNames,A_DeptHires))/12*L_HirePace</f>
        <v/>
      </c>
      <c r="X13" s="56">
        <f>_xlfn.XLOOKUP(YEAR(X$5),A_HireYears,_xlfn.XLOOKUP($A13,A_DeptNames,A_DeptHires))/12*L_HirePace</f>
        <v/>
      </c>
      <c r="Y13" s="56">
        <f>_xlfn.XLOOKUP(YEAR(Y$5),A_HireYears,_xlfn.XLOOKUP($A13,A_DeptNames,A_DeptHires))/12*L_HirePace</f>
        <v/>
      </c>
      <c r="Z13" s="56">
        <f>_xlfn.XLOOKUP(YEAR(Z$5),A_HireYears,_xlfn.XLOOKUP($A13,A_DeptNames,A_DeptHires))/12*L_HirePace</f>
        <v/>
      </c>
      <c r="AA13" s="56">
        <f>_xlfn.XLOOKUP(YEAR(AA$5),A_HireYears,_xlfn.XLOOKUP($A13,A_DeptNames,A_DeptHires))/12*L_HirePace</f>
        <v/>
      </c>
      <c r="AB13" s="56">
        <f>_xlfn.XLOOKUP(YEAR(AB$5),A_HireYears,_xlfn.XLOOKUP($A13,A_DeptNames,A_DeptHires))/12*L_HirePace</f>
        <v/>
      </c>
      <c r="AC13" s="56">
        <f>_xlfn.XLOOKUP(YEAR(AC$5),A_HireYears,_xlfn.XLOOKUP($A13,A_DeptNames,A_DeptHires))/12*L_HirePace</f>
        <v/>
      </c>
      <c r="AD13" s="56">
        <f>_xlfn.XLOOKUP(YEAR(AD$5),A_HireYears,_xlfn.XLOOKUP($A13,A_DeptNames,A_DeptHires))/12*L_HirePace</f>
        <v/>
      </c>
      <c r="AE13" s="56">
        <f>_xlfn.XLOOKUP(YEAR(AE$5),A_HireYears,_xlfn.XLOOKUP($A13,A_DeptNames,A_DeptHires))/12*L_HirePace</f>
        <v/>
      </c>
      <c r="AF13" s="56">
        <f>_xlfn.XLOOKUP(YEAR(AF$5),A_HireYears,_xlfn.XLOOKUP($A13,A_DeptNames,A_DeptHires))/12*L_HirePace</f>
        <v/>
      </c>
      <c r="AG13" s="56">
        <f>_xlfn.XLOOKUP(YEAR(AG$5),A_HireYears,_xlfn.XLOOKUP($A13,A_DeptNames,A_DeptHires))/12*L_HirePace</f>
        <v/>
      </c>
      <c r="AH13" s="56">
        <f>_xlfn.XLOOKUP(YEAR(AH$5),A_HireYears,_xlfn.XLOOKUP($A13,A_DeptNames,A_DeptHires))/12*L_HirePace</f>
        <v/>
      </c>
      <c r="AI13" s="56">
        <f>_xlfn.XLOOKUP(YEAR(AI$5),A_HireYears,_xlfn.XLOOKUP($A13,A_DeptNames,A_DeptHires))/12*L_HirePace</f>
        <v/>
      </c>
      <c r="AJ13" s="56">
        <f>_xlfn.XLOOKUP(YEAR(AJ$5),A_HireYears,_xlfn.XLOOKUP($A13,A_DeptNames,A_DeptHires))/12*L_HirePace</f>
        <v/>
      </c>
      <c r="AK13" s="56">
        <f>_xlfn.XLOOKUP(YEAR(AK$5),A_HireYears,_xlfn.XLOOKUP($A13,A_DeptNames,A_DeptHires))/12*L_HirePace</f>
        <v/>
      </c>
      <c r="AL13" s="56">
        <f>_xlfn.XLOOKUP(YEAR(AL$5),A_HireYears,_xlfn.XLOOKUP($A13,A_DeptNames,A_DeptHires))/12*L_HirePace</f>
        <v/>
      </c>
    </row>
    <row r="15">
      <c r="A15" s="31" t="inlineStr">
        <is>
          <t>HEADCOUNT  |  end of month</t>
        </is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</row>
    <row r="16">
      <c r="A16" s="33" t="inlineStr">
        <is>
          <t>Engineering</t>
        </is>
      </c>
      <c r="B16" s="34" t="inlineStr">
        <is>
          <t>#</t>
        </is>
      </c>
      <c r="C16" s="56">
        <f>_xlfn.XLOOKUP($A16,A_DeptNames,A_DeptStart)+C8</f>
        <v/>
      </c>
      <c r="D16" s="56">
        <f>C16+D8</f>
        <v/>
      </c>
      <c r="E16" s="56">
        <f>D16+E8</f>
        <v/>
      </c>
      <c r="F16" s="56">
        <f>E16+F8</f>
        <v/>
      </c>
      <c r="G16" s="56">
        <f>F16+G8</f>
        <v/>
      </c>
      <c r="H16" s="56">
        <f>G16+H8</f>
        <v/>
      </c>
      <c r="I16" s="56">
        <f>H16+I8</f>
        <v/>
      </c>
      <c r="J16" s="56">
        <f>I16+J8</f>
        <v/>
      </c>
      <c r="K16" s="56">
        <f>J16+K8</f>
        <v/>
      </c>
      <c r="L16" s="56">
        <f>K16+L8</f>
        <v/>
      </c>
      <c r="M16" s="56">
        <f>L16+M8</f>
        <v/>
      </c>
      <c r="N16" s="56">
        <f>M16+N8</f>
        <v/>
      </c>
      <c r="O16" s="56">
        <f>N16+O8</f>
        <v/>
      </c>
      <c r="P16" s="56">
        <f>O16+P8</f>
        <v/>
      </c>
      <c r="Q16" s="56">
        <f>P16+Q8</f>
        <v/>
      </c>
      <c r="R16" s="56">
        <f>Q16+R8</f>
        <v/>
      </c>
      <c r="S16" s="56">
        <f>R16+S8</f>
        <v/>
      </c>
      <c r="T16" s="56">
        <f>S16+T8</f>
        <v/>
      </c>
      <c r="U16" s="56">
        <f>T16+U8</f>
        <v/>
      </c>
      <c r="V16" s="56">
        <f>U16+V8</f>
        <v/>
      </c>
      <c r="W16" s="56">
        <f>V16+W8</f>
        <v/>
      </c>
      <c r="X16" s="56">
        <f>W16+X8</f>
        <v/>
      </c>
      <c r="Y16" s="56">
        <f>X16+Y8</f>
        <v/>
      </c>
      <c r="Z16" s="56">
        <f>Y16+Z8</f>
        <v/>
      </c>
      <c r="AA16" s="56">
        <f>Z16+AA8</f>
        <v/>
      </c>
      <c r="AB16" s="56">
        <f>AA16+AB8</f>
        <v/>
      </c>
      <c r="AC16" s="56">
        <f>AB16+AC8</f>
        <v/>
      </c>
      <c r="AD16" s="56">
        <f>AC16+AD8</f>
        <v/>
      </c>
      <c r="AE16" s="56">
        <f>AD16+AE8</f>
        <v/>
      </c>
      <c r="AF16" s="56">
        <f>AE16+AF8</f>
        <v/>
      </c>
      <c r="AG16" s="56">
        <f>AF16+AG8</f>
        <v/>
      </c>
      <c r="AH16" s="56">
        <f>AG16+AH8</f>
        <v/>
      </c>
      <c r="AI16" s="56">
        <f>AH16+AI8</f>
        <v/>
      </c>
      <c r="AJ16" s="56">
        <f>AI16+AJ8</f>
        <v/>
      </c>
      <c r="AK16" s="56">
        <f>AJ16+AK8</f>
        <v/>
      </c>
      <c r="AL16" s="56">
        <f>AK16+AL8</f>
        <v/>
      </c>
    </row>
    <row r="17">
      <c r="A17" s="33" t="inlineStr">
        <is>
          <t>Product</t>
        </is>
      </c>
      <c r="B17" s="34" t="inlineStr">
        <is>
          <t>#</t>
        </is>
      </c>
      <c r="C17" s="56">
        <f>_xlfn.XLOOKUP($A17,A_DeptNames,A_DeptStart)+C9</f>
        <v/>
      </c>
      <c r="D17" s="56">
        <f>C17+D9</f>
        <v/>
      </c>
      <c r="E17" s="56">
        <f>D17+E9</f>
        <v/>
      </c>
      <c r="F17" s="56">
        <f>E17+F9</f>
        <v/>
      </c>
      <c r="G17" s="56">
        <f>F17+G9</f>
        <v/>
      </c>
      <c r="H17" s="56">
        <f>G17+H9</f>
        <v/>
      </c>
      <c r="I17" s="56">
        <f>H17+I9</f>
        <v/>
      </c>
      <c r="J17" s="56">
        <f>I17+J9</f>
        <v/>
      </c>
      <c r="K17" s="56">
        <f>J17+K9</f>
        <v/>
      </c>
      <c r="L17" s="56">
        <f>K17+L9</f>
        <v/>
      </c>
      <c r="M17" s="56">
        <f>L17+M9</f>
        <v/>
      </c>
      <c r="N17" s="56">
        <f>M17+N9</f>
        <v/>
      </c>
      <c r="O17" s="56">
        <f>N17+O9</f>
        <v/>
      </c>
      <c r="P17" s="56">
        <f>O17+P9</f>
        <v/>
      </c>
      <c r="Q17" s="56">
        <f>P17+Q9</f>
        <v/>
      </c>
      <c r="R17" s="56">
        <f>Q17+R9</f>
        <v/>
      </c>
      <c r="S17" s="56">
        <f>R17+S9</f>
        <v/>
      </c>
      <c r="T17" s="56">
        <f>S17+T9</f>
        <v/>
      </c>
      <c r="U17" s="56">
        <f>T17+U9</f>
        <v/>
      </c>
      <c r="V17" s="56">
        <f>U17+V9</f>
        <v/>
      </c>
      <c r="W17" s="56">
        <f>V17+W9</f>
        <v/>
      </c>
      <c r="X17" s="56">
        <f>W17+X9</f>
        <v/>
      </c>
      <c r="Y17" s="56">
        <f>X17+Y9</f>
        <v/>
      </c>
      <c r="Z17" s="56">
        <f>Y17+Z9</f>
        <v/>
      </c>
      <c r="AA17" s="56">
        <f>Z17+AA9</f>
        <v/>
      </c>
      <c r="AB17" s="56">
        <f>AA17+AB9</f>
        <v/>
      </c>
      <c r="AC17" s="56">
        <f>AB17+AC9</f>
        <v/>
      </c>
      <c r="AD17" s="56">
        <f>AC17+AD9</f>
        <v/>
      </c>
      <c r="AE17" s="56">
        <f>AD17+AE9</f>
        <v/>
      </c>
      <c r="AF17" s="56">
        <f>AE17+AF9</f>
        <v/>
      </c>
      <c r="AG17" s="56">
        <f>AF17+AG9</f>
        <v/>
      </c>
      <c r="AH17" s="56">
        <f>AG17+AH9</f>
        <v/>
      </c>
      <c r="AI17" s="56">
        <f>AH17+AI9</f>
        <v/>
      </c>
      <c r="AJ17" s="56">
        <f>AI17+AJ9</f>
        <v/>
      </c>
      <c r="AK17" s="56">
        <f>AJ17+AK9</f>
        <v/>
      </c>
      <c r="AL17" s="56">
        <f>AK17+AL9</f>
        <v/>
      </c>
    </row>
    <row r="18">
      <c r="A18" s="33" t="inlineStr">
        <is>
          <t>Sales</t>
        </is>
      </c>
      <c r="B18" s="34" t="inlineStr">
        <is>
          <t>#</t>
        </is>
      </c>
      <c r="C18" s="56">
        <f>_xlfn.XLOOKUP($A18,A_DeptNames,A_DeptStart)+C10</f>
        <v/>
      </c>
      <c r="D18" s="56">
        <f>C18+D10</f>
        <v/>
      </c>
      <c r="E18" s="56">
        <f>D18+E10</f>
        <v/>
      </c>
      <c r="F18" s="56">
        <f>E18+F10</f>
        <v/>
      </c>
      <c r="G18" s="56">
        <f>F18+G10</f>
        <v/>
      </c>
      <c r="H18" s="56">
        <f>G18+H10</f>
        <v/>
      </c>
      <c r="I18" s="56">
        <f>H18+I10</f>
        <v/>
      </c>
      <c r="J18" s="56">
        <f>I18+J10</f>
        <v/>
      </c>
      <c r="K18" s="56">
        <f>J18+K10</f>
        <v/>
      </c>
      <c r="L18" s="56">
        <f>K18+L10</f>
        <v/>
      </c>
      <c r="M18" s="56">
        <f>L18+M10</f>
        <v/>
      </c>
      <c r="N18" s="56">
        <f>M18+N10</f>
        <v/>
      </c>
      <c r="O18" s="56">
        <f>N18+O10</f>
        <v/>
      </c>
      <c r="P18" s="56">
        <f>O18+P10</f>
        <v/>
      </c>
      <c r="Q18" s="56">
        <f>P18+Q10</f>
        <v/>
      </c>
      <c r="R18" s="56">
        <f>Q18+R10</f>
        <v/>
      </c>
      <c r="S18" s="56">
        <f>R18+S10</f>
        <v/>
      </c>
      <c r="T18" s="56">
        <f>S18+T10</f>
        <v/>
      </c>
      <c r="U18" s="56">
        <f>T18+U10</f>
        <v/>
      </c>
      <c r="V18" s="56">
        <f>U18+V10</f>
        <v/>
      </c>
      <c r="W18" s="56">
        <f>V18+W10</f>
        <v/>
      </c>
      <c r="X18" s="56">
        <f>W18+X10</f>
        <v/>
      </c>
      <c r="Y18" s="56">
        <f>X18+Y10</f>
        <v/>
      </c>
      <c r="Z18" s="56">
        <f>Y18+Z10</f>
        <v/>
      </c>
      <c r="AA18" s="56">
        <f>Z18+AA10</f>
        <v/>
      </c>
      <c r="AB18" s="56">
        <f>AA18+AB10</f>
        <v/>
      </c>
      <c r="AC18" s="56">
        <f>AB18+AC10</f>
        <v/>
      </c>
      <c r="AD18" s="56">
        <f>AC18+AD10</f>
        <v/>
      </c>
      <c r="AE18" s="56">
        <f>AD18+AE10</f>
        <v/>
      </c>
      <c r="AF18" s="56">
        <f>AE18+AF10</f>
        <v/>
      </c>
      <c r="AG18" s="56">
        <f>AF18+AG10</f>
        <v/>
      </c>
      <c r="AH18" s="56">
        <f>AG18+AH10</f>
        <v/>
      </c>
      <c r="AI18" s="56">
        <f>AH18+AI10</f>
        <v/>
      </c>
      <c r="AJ18" s="56">
        <f>AI18+AJ10</f>
        <v/>
      </c>
      <c r="AK18" s="56">
        <f>AJ18+AK10</f>
        <v/>
      </c>
      <c r="AL18" s="56">
        <f>AK18+AL10</f>
        <v/>
      </c>
    </row>
    <row r="19">
      <c r="A19" s="33" t="inlineStr">
        <is>
          <t>Marketing</t>
        </is>
      </c>
      <c r="B19" s="34" t="inlineStr">
        <is>
          <t>#</t>
        </is>
      </c>
      <c r="C19" s="56">
        <f>_xlfn.XLOOKUP($A19,A_DeptNames,A_DeptStart)+C11</f>
        <v/>
      </c>
      <c r="D19" s="56">
        <f>C19+D11</f>
        <v/>
      </c>
      <c r="E19" s="56">
        <f>D19+E11</f>
        <v/>
      </c>
      <c r="F19" s="56">
        <f>E19+F11</f>
        <v/>
      </c>
      <c r="G19" s="56">
        <f>F19+G11</f>
        <v/>
      </c>
      <c r="H19" s="56">
        <f>G19+H11</f>
        <v/>
      </c>
      <c r="I19" s="56">
        <f>H19+I11</f>
        <v/>
      </c>
      <c r="J19" s="56">
        <f>I19+J11</f>
        <v/>
      </c>
      <c r="K19" s="56">
        <f>J19+K11</f>
        <v/>
      </c>
      <c r="L19" s="56">
        <f>K19+L11</f>
        <v/>
      </c>
      <c r="M19" s="56">
        <f>L19+M11</f>
        <v/>
      </c>
      <c r="N19" s="56">
        <f>M19+N11</f>
        <v/>
      </c>
      <c r="O19" s="56">
        <f>N19+O11</f>
        <v/>
      </c>
      <c r="P19" s="56">
        <f>O19+P11</f>
        <v/>
      </c>
      <c r="Q19" s="56">
        <f>P19+Q11</f>
        <v/>
      </c>
      <c r="R19" s="56">
        <f>Q19+R11</f>
        <v/>
      </c>
      <c r="S19" s="56">
        <f>R19+S11</f>
        <v/>
      </c>
      <c r="T19" s="56">
        <f>S19+T11</f>
        <v/>
      </c>
      <c r="U19" s="56">
        <f>T19+U11</f>
        <v/>
      </c>
      <c r="V19" s="56">
        <f>U19+V11</f>
        <v/>
      </c>
      <c r="W19" s="56">
        <f>V19+W11</f>
        <v/>
      </c>
      <c r="X19" s="56">
        <f>W19+X11</f>
        <v/>
      </c>
      <c r="Y19" s="56">
        <f>X19+Y11</f>
        <v/>
      </c>
      <c r="Z19" s="56">
        <f>Y19+Z11</f>
        <v/>
      </c>
      <c r="AA19" s="56">
        <f>Z19+AA11</f>
        <v/>
      </c>
      <c r="AB19" s="56">
        <f>AA19+AB11</f>
        <v/>
      </c>
      <c r="AC19" s="56">
        <f>AB19+AC11</f>
        <v/>
      </c>
      <c r="AD19" s="56">
        <f>AC19+AD11</f>
        <v/>
      </c>
      <c r="AE19" s="56">
        <f>AD19+AE11</f>
        <v/>
      </c>
      <c r="AF19" s="56">
        <f>AE19+AF11</f>
        <v/>
      </c>
      <c r="AG19" s="56">
        <f>AF19+AG11</f>
        <v/>
      </c>
      <c r="AH19" s="56">
        <f>AG19+AH11</f>
        <v/>
      </c>
      <c r="AI19" s="56">
        <f>AH19+AI11</f>
        <v/>
      </c>
      <c r="AJ19" s="56">
        <f>AI19+AJ11</f>
        <v/>
      </c>
      <c r="AK19" s="56">
        <f>AJ19+AK11</f>
        <v/>
      </c>
      <c r="AL19" s="56">
        <f>AK19+AL11</f>
        <v/>
      </c>
    </row>
    <row r="20">
      <c r="A20" s="33" t="inlineStr">
        <is>
          <t>Customer Success</t>
        </is>
      </c>
      <c r="B20" s="34" t="inlineStr">
        <is>
          <t>#</t>
        </is>
      </c>
      <c r="C20" s="56">
        <f>_xlfn.XLOOKUP($A20,A_DeptNames,A_DeptStart)+C12</f>
        <v/>
      </c>
      <c r="D20" s="56">
        <f>C20+D12</f>
        <v/>
      </c>
      <c r="E20" s="56">
        <f>D20+E12</f>
        <v/>
      </c>
      <c r="F20" s="56">
        <f>E20+F12</f>
        <v/>
      </c>
      <c r="G20" s="56">
        <f>F20+G12</f>
        <v/>
      </c>
      <c r="H20" s="56">
        <f>G20+H12</f>
        <v/>
      </c>
      <c r="I20" s="56">
        <f>H20+I12</f>
        <v/>
      </c>
      <c r="J20" s="56">
        <f>I20+J12</f>
        <v/>
      </c>
      <c r="K20" s="56">
        <f>J20+K12</f>
        <v/>
      </c>
      <c r="L20" s="56">
        <f>K20+L12</f>
        <v/>
      </c>
      <c r="M20" s="56">
        <f>L20+M12</f>
        <v/>
      </c>
      <c r="N20" s="56">
        <f>M20+N12</f>
        <v/>
      </c>
      <c r="O20" s="56">
        <f>N20+O12</f>
        <v/>
      </c>
      <c r="P20" s="56">
        <f>O20+P12</f>
        <v/>
      </c>
      <c r="Q20" s="56">
        <f>P20+Q12</f>
        <v/>
      </c>
      <c r="R20" s="56">
        <f>Q20+R12</f>
        <v/>
      </c>
      <c r="S20" s="56">
        <f>R20+S12</f>
        <v/>
      </c>
      <c r="T20" s="56">
        <f>S20+T12</f>
        <v/>
      </c>
      <c r="U20" s="56">
        <f>T20+U12</f>
        <v/>
      </c>
      <c r="V20" s="56">
        <f>U20+V12</f>
        <v/>
      </c>
      <c r="W20" s="56">
        <f>V20+W12</f>
        <v/>
      </c>
      <c r="X20" s="56">
        <f>W20+X12</f>
        <v/>
      </c>
      <c r="Y20" s="56">
        <f>X20+Y12</f>
        <v/>
      </c>
      <c r="Z20" s="56">
        <f>Y20+Z12</f>
        <v/>
      </c>
      <c r="AA20" s="56">
        <f>Z20+AA12</f>
        <v/>
      </c>
      <c r="AB20" s="56">
        <f>AA20+AB12</f>
        <v/>
      </c>
      <c r="AC20" s="56">
        <f>AB20+AC12</f>
        <v/>
      </c>
      <c r="AD20" s="56">
        <f>AC20+AD12</f>
        <v/>
      </c>
      <c r="AE20" s="56">
        <f>AD20+AE12</f>
        <v/>
      </c>
      <c r="AF20" s="56">
        <f>AE20+AF12</f>
        <v/>
      </c>
      <c r="AG20" s="56">
        <f>AF20+AG12</f>
        <v/>
      </c>
      <c r="AH20" s="56">
        <f>AG20+AH12</f>
        <v/>
      </c>
      <c r="AI20" s="56">
        <f>AH20+AI12</f>
        <v/>
      </c>
      <c r="AJ20" s="56">
        <f>AI20+AJ12</f>
        <v/>
      </c>
      <c r="AK20" s="56">
        <f>AJ20+AK12</f>
        <v/>
      </c>
      <c r="AL20" s="56">
        <f>AK20+AL12</f>
        <v/>
      </c>
    </row>
    <row r="21">
      <c r="A21" s="33" t="inlineStr">
        <is>
          <t>G&amp;A</t>
        </is>
      </c>
      <c r="B21" s="34" t="inlineStr">
        <is>
          <t>#</t>
        </is>
      </c>
      <c r="C21" s="56">
        <f>_xlfn.XLOOKUP($A21,A_DeptNames,A_DeptStart)+C13</f>
        <v/>
      </c>
      <c r="D21" s="56">
        <f>C21+D13</f>
        <v/>
      </c>
      <c r="E21" s="56">
        <f>D21+E13</f>
        <v/>
      </c>
      <c r="F21" s="56">
        <f>E21+F13</f>
        <v/>
      </c>
      <c r="G21" s="56">
        <f>F21+G13</f>
        <v/>
      </c>
      <c r="H21" s="56">
        <f>G21+H13</f>
        <v/>
      </c>
      <c r="I21" s="56">
        <f>H21+I13</f>
        <v/>
      </c>
      <c r="J21" s="56">
        <f>I21+J13</f>
        <v/>
      </c>
      <c r="K21" s="56">
        <f>J21+K13</f>
        <v/>
      </c>
      <c r="L21" s="56">
        <f>K21+L13</f>
        <v/>
      </c>
      <c r="M21" s="56">
        <f>L21+M13</f>
        <v/>
      </c>
      <c r="N21" s="56">
        <f>M21+N13</f>
        <v/>
      </c>
      <c r="O21" s="56">
        <f>N21+O13</f>
        <v/>
      </c>
      <c r="P21" s="56">
        <f>O21+P13</f>
        <v/>
      </c>
      <c r="Q21" s="56">
        <f>P21+Q13</f>
        <v/>
      </c>
      <c r="R21" s="56">
        <f>Q21+R13</f>
        <v/>
      </c>
      <c r="S21" s="56">
        <f>R21+S13</f>
        <v/>
      </c>
      <c r="T21" s="56">
        <f>S21+T13</f>
        <v/>
      </c>
      <c r="U21" s="56">
        <f>T21+U13</f>
        <v/>
      </c>
      <c r="V21" s="56">
        <f>U21+V13</f>
        <v/>
      </c>
      <c r="W21" s="56">
        <f>V21+W13</f>
        <v/>
      </c>
      <c r="X21" s="56">
        <f>W21+X13</f>
        <v/>
      </c>
      <c r="Y21" s="56">
        <f>X21+Y13</f>
        <v/>
      </c>
      <c r="Z21" s="56">
        <f>Y21+Z13</f>
        <v/>
      </c>
      <c r="AA21" s="56">
        <f>Z21+AA13</f>
        <v/>
      </c>
      <c r="AB21" s="56">
        <f>AA21+AB13</f>
        <v/>
      </c>
      <c r="AC21" s="56">
        <f>AB21+AC13</f>
        <v/>
      </c>
      <c r="AD21" s="56">
        <f>AC21+AD13</f>
        <v/>
      </c>
      <c r="AE21" s="56">
        <f>AD21+AE13</f>
        <v/>
      </c>
      <c r="AF21" s="56">
        <f>AE21+AF13</f>
        <v/>
      </c>
      <c r="AG21" s="56">
        <f>AF21+AG13</f>
        <v/>
      </c>
      <c r="AH21" s="56">
        <f>AG21+AH13</f>
        <v/>
      </c>
      <c r="AI21" s="56">
        <f>AH21+AI13</f>
        <v/>
      </c>
      <c r="AJ21" s="56">
        <f>AI21+AJ13</f>
        <v/>
      </c>
      <c r="AK21" s="56">
        <f>AJ21+AK13</f>
        <v/>
      </c>
      <c r="AL21" s="56">
        <f>AK21+AL13</f>
        <v/>
      </c>
    </row>
    <row r="22">
      <c r="A22" s="59" t="inlineStr">
        <is>
          <t>Total headcount</t>
        </is>
      </c>
      <c r="B22" s="60" t="inlineStr">
        <is>
          <t>#</t>
        </is>
      </c>
      <c r="C22" s="65">
        <f>SUM(C16:C21)</f>
        <v/>
      </c>
      <c r="D22" s="65">
        <f>SUM(D16:D21)</f>
        <v/>
      </c>
      <c r="E22" s="65">
        <f>SUM(E16:E21)</f>
        <v/>
      </c>
      <c r="F22" s="65">
        <f>SUM(F16:F21)</f>
        <v/>
      </c>
      <c r="G22" s="65">
        <f>SUM(G16:G21)</f>
        <v/>
      </c>
      <c r="H22" s="65">
        <f>SUM(H16:H21)</f>
        <v/>
      </c>
      <c r="I22" s="65">
        <f>SUM(I16:I21)</f>
        <v/>
      </c>
      <c r="J22" s="65">
        <f>SUM(J16:J21)</f>
        <v/>
      </c>
      <c r="K22" s="65">
        <f>SUM(K16:K21)</f>
        <v/>
      </c>
      <c r="L22" s="65">
        <f>SUM(L16:L21)</f>
        <v/>
      </c>
      <c r="M22" s="65">
        <f>SUM(M16:M21)</f>
        <v/>
      </c>
      <c r="N22" s="65">
        <f>SUM(N16:N21)</f>
        <v/>
      </c>
      <c r="O22" s="65">
        <f>SUM(O16:O21)</f>
        <v/>
      </c>
      <c r="P22" s="65">
        <f>SUM(P16:P21)</f>
        <v/>
      </c>
      <c r="Q22" s="65">
        <f>SUM(Q16:Q21)</f>
        <v/>
      </c>
      <c r="R22" s="65">
        <f>SUM(R16:R21)</f>
        <v/>
      </c>
      <c r="S22" s="65">
        <f>SUM(S16:S21)</f>
        <v/>
      </c>
      <c r="T22" s="65">
        <f>SUM(T16:T21)</f>
        <v/>
      </c>
      <c r="U22" s="65">
        <f>SUM(U16:U21)</f>
        <v/>
      </c>
      <c r="V22" s="65">
        <f>SUM(V16:V21)</f>
        <v/>
      </c>
      <c r="W22" s="65">
        <f>SUM(W16:W21)</f>
        <v/>
      </c>
      <c r="X22" s="65">
        <f>SUM(X16:X21)</f>
        <v/>
      </c>
      <c r="Y22" s="65">
        <f>SUM(Y16:Y21)</f>
        <v/>
      </c>
      <c r="Z22" s="65">
        <f>SUM(Z16:Z21)</f>
        <v/>
      </c>
      <c r="AA22" s="65">
        <f>SUM(AA16:AA21)</f>
        <v/>
      </c>
      <c r="AB22" s="65">
        <f>SUM(AB16:AB21)</f>
        <v/>
      </c>
      <c r="AC22" s="65">
        <f>SUM(AC16:AC21)</f>
        <v/>
      </c>
      <c r="AD22" s="65">
        <f>SUM(AD16:AD21)</f>
        <v/>
      </c>
      <c r="AE22" s="65">
        <f>SUM(AE16:AE21)</f>
        <v/>
      </c>
      <c r="AF22" s="65">
        <f>SUM(AF16:AF21)</f>
        <v/>
      </c>
      <c r="AG22" s="65">
        <f>SUM(AG16:AG21)</f>
        <v/>
      </c>
      <c r="AH22" s="65">
        <f>SUM(AH16:AH21)</f>
        <v/>
      </c>
      <c r="AI22" s="65">
        <f>SUM(AI16:AI21)</f>
        <v/>
      </c>
      <c r="AJ22" s="65">
        <f>SUM(AJ16:AJ21)</f>
        <v/>
      </c>
      <c r="AK22" s="65">
        <f>SUM(AK16:AK21)</f>
        <v/>
      </c>
      <c r="AL22" s="65">
        <f>SUM(AL16:AL21)</f>
        <v/>
      </c>
    </row>
    <row r="24">
      <c r="A24" s="31" t="inlineStr">
        <is>
          <t>SALARY INFLATION</t>
        </is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2" t="n"/>
      <c r="Y24" s="32" t="n"/>
      <c r="Z24" s="32" t="n"/>
      <c r="AA24" s="32" t="n"/>
      <c r="AB24" s="32" t="n"/>
      <c r="AC24" s="32" t="n"/>
      <c r="AD24" s="32" t="n"/>
      <c r="AE24" s="32" t="n"/>
      <c r="AF24" s="32" t="n"/>
      <c r="AG24" s="32" t="n"/>
      <c r="AH24" s="32" t="n"/>
      <c r="AI24" s="32" t="n"/>
      <c r="AJ24" s="32" t="n"/>
      <c r="AK24" s="32" t="n"/>
      <c r="AL24" s="32" t="n"/>
      <c r="AM24" s="32" t="n"/>
      <c r="AN24" s="32" t="n"/>
      <c r="AO24" s="32" t="n"/>
      <c r="AP24" s="32" t="n"/>
    </row>
    <row r="25">
      <c r="A25" s="33" t="inlineStr">
        <is>
          <t>Salary index (applied each January)</t>
        </is>
      </c>
      <c r="B25" s="34" t="inlineStr">
        <is>
          <t>x</t>
        </is>
      </c>
      <c r="C25" s="66">
        <f>(1+L_SalInfl)^(YEAR(C$5)-2026)</f>
        <v/>
      </c>
      <c r="D25" s="66">
        <f>(1+L_SalInfl)^(YEAR(D$5)-2026)</f>
        <v/>
      </c>
      <c r="E25" s="66">
        <f>(1+L_SalInfl)^(YEAR(E$5)-2026)</f>
        <v/>
      </c>
      <c r="F25" s="66">
        <f>(1+L_SalInfl)^(YEAR(F$5)-2026)</f>
        <v/>
      </c>
      <c r="G25" s="66">
        <f>(1+L_SalInfl)^(YEAR(G$5)-2026)</f>
        <v/>
      </c>
      <c r="H25" s="66">
        <f>(1+L_SalInfl)^(YEAR(H$5)-2026)</f>
        <v/>
      </c>
      <c r="I25" s="66">
        <f>(1+L_SalInfl)^(YEAR(I$5)-2026)</f>
        <v/>
      </c>
      <c r="J25" s="66">
        <f>(1+L_SalInfl)^(YEAR(J$5)-2026)</f>
        <v/>
      </c>
      <c r="K25" s="66">
        <f>(1+L_SalInfl)^(YEAR(K$5)-2026)</f>
        <v/>
      </c>
      <c r="L25" s="66">
        <f>(1+L_SalInfl)^(YEAR(L$5)-2026)</f>
        <v/>
      </c>
      <c r="M25" s="66">
        <f>(1+L_SalInfl)^(YEAR(M$5)-2026)</f>
        <v/>
      </c>
      <c r="N25" s="66">
        <f>(1+L_SalInfl)^(YEAR(N$5)-2026)</f>
        <v/>
      </c>
      <c r="O25" s="66">
        <f>(1+L_SalInfl)^(YEAR(O$5)-2026)</f>
        <v/>
      </c>
      <c r="P25" s="66">
        <f>(1+L_SalInfl)^(YEAR(P$5)-2026)</f>
        <v/>
      </c>
      <c r="Q25" s="66">
        <f>(1+L_SalInfl)^(YEAR(Q$5)-2026)</f>
        <v/>
      </c>
      <c r="R25" s="66">
        <f>(1+L_SalInfl)^(YEAR(R$5)-2026)</f>
        <v/>
      </c>
      <c r="S25" s="66">
        <f>(1+L_SalInfl)^(YEAR(S$5)-2026)</f>
        <v/>
      </c>
      <c r="T25" s="66">
        <f>(1+L_SalInfl)^(YEAR(T$5)-2026)</f>
        <v/>
      </c>
      <c r="U25" s="66">
        <f>(1+L_SalInfl)^(YEAR(U$5)-2026)</f>
        <v/>
      </c>
      <c r="V25" s="66">
        <f>(1+L_SalInfl)^(YEAR(V$5)-2026)</f>
        <v/>
      </c>
      <c r="W25" s="66">
        <f>(1+L_SalInfl)^(YEAR(W$5)-2026)</f>
        <v/>
      </c>
      <c r="X25" s="66">
        <f>(1+L_SalInfl)^(YEAR(X$5)-2026)</f>
        <v/>
      </c>
      <c r="Y25" s="66">
        <f>(1+L_SalInfl)^(YEAR(Y$5)-2026)</f>
        <v/>
      </c>
      <c r="Z25" s="66">
        <f>(1+L_SalInfl)^(YEAR(Z$5)-2026)</f>
        <v/>
      </c>
      <c r="AA25" s="66">
        <f>(1+L_SalInfl)^(YEAR(AA$5)-2026)</f>
        <v/>
      </c>
      <c r="AB25" s="66">
        <f>(1+L_SalInfl)^(YEAR(AB$5)-2026)</f>
        <v/>
      </c>
      <c r="AC25" s="66">
        <f>(1+L_SalInfl)^(YEAR(AC$5)-2026)</f>
        <v/>
      </c>
      <c r="AD25" s="66">
        <f>(1+L_SalInfl)^(YEAR(AD$5)-2026)</f>
        <v/>
      </c>
      <c r="AE25" s="66">
        <f>(1+L_SalInfl)^(YEAR(AE$5)-2026)</f>
        <v/>
      </c>
      <c r="AF25" s="66">
        <f>(1+L_SalInfl)^(YEAR(AF$5)-2026)</f>
        <v/>
      </c>
      <c r="AG25" s="66">
        <f>(1+L_SalInfl)^(YEAR(AG$5)-2026)</f>
        <v/>
      </c>
      <c r="AH25" s="66">
        <f>(1+L_SalInfl)^(YEAR(AH$5)-2026)</f>
        <v/>
      </c>
      <c r="AI25" s="66">
        <f>(1+L_SalInfl)^(YEAR(AI$5)-2026)</f>
        <v/>
      </c>
      <c r="AJ25" s="66">
        <f>(1+L_SalInfl)^(YEAR(AJ$5)-2026)</f>
        <v/>
      </c>
      <c r="AK25" s="66">
        <f>(1+L_SalInfl)^(YEAR(AK$5)-2026)</f>
        <v/>
      </c>
      <c r="AL25" s="66">
        <f>(1+L_SalInfl)^(YEAR(AL$5)-2026)</f>
        <v/>
      </c>
    </row>
    <row r="27">
      <c r="A27" s="31" t="inlineStr">
        <is>
          <t>FULLY LOADED COST PER MONTH  |  base x inflation x loaded factor</t>
        </is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2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</row>
    <row r="28">
      <c r="A28" s="33" t="inlineStr">
        <is>
          <t>Engineering</t>
        </is>
      </c>
      <c r="B28" s="34" t="inlineStr">
        <is>
          <t>$</t>
        </is>
      </c>
      <c r="C28" s="58">
        <f>C16*_xlfn.XLOOKUP($A28,A_DeptNames,A_DeptSal)*C$25*A_Load/12</f>
        <v/>
      </c>
      <c r="D28" s="58">
        <f>D16*_xlfn.XLOOKUP($A28,A_DeptNames,A_DeptSal)*D$25*A_Load/12</f>
        <v/>
      </c>
      <c r="E28" s="58">
        <f>E16*_xlfn.XLOOKUP($A28,A_DeptNames,A_DeptSal)*E$25*A_Load/12</f>
        <v/>
      </c>
      <c r="F28" s="58">
        <f>F16*_xlfn.XLOOKUP($A28,A_DeptNames,A_DeptSal)*F$25*A_Load/12</f>
        <v/>
      </c>
      <c r="G28" s="58">
        <f>G16*_xlfn.XLOOKUP($A28,A_DeptNames,A_DeptSal)*G$25*A_Load/12</f>
        <v/>
      </c>
      <c r="H28" s="58">
        <f>H16*_xlfn.XLOOKUP($A28,A_DeptNames,A_DeptSal)*H$25*A_Load/12</f>
        <v/>
      </c>
      <c r="I28" s="58">
        <f>I16*_xlfn.XLOOKUP($A28,A_DeptNames,A_DeptSal)*I$25*A_Load/12</f>
        <v/>
      </c>
      <c r="J28" s="58">
        <f>J16*_xlfn.XLOOKUP($A28,A_DeptNames,A_DeptSal)*J$25*A_Load/12</f>
        <v/>
      </c>
      <c r="K28" s="58">
        <f>K16*_xlfn.XLOOKUP($A28,A_DeptNames,A_DeptSal)*K$25*A_Load/12</f>
        <v/>
      </c>
      <c r="L28" s="58">
        <f>L16*_xlfn.XLOOKUP($A28,A_DeptNames,A_DeptSal)*L$25*A_Load/12</f>
        <v/>
      </c>
      <c r="M28" s="58">
        <f>M16*_xlfn.XLOOKUP($A28,A_DeptNames,A_DeptSal)*M$25*A_Load/12</f>
        <v/>
      </c>
      <c r="N28" s="58">
        <f>N16*_xlfn.XLOOKUP($A28,A_DeptNames,A_DeptSal)*N$25*A_Load/12</f>
        <v/>
      </c>
      <c r="O28" s="58">
        <f>O16*_xlfn.XLOOKUP($A28,A_DeptNames,A_DeptSal)*O$25*A_Load/12</f>
        <v/>
      </c>
      <c r="P28" s="58">
        <f>P16*_xlfn.XLOOKUP($A28,A_DeptNames,A_DeptSal)*P$25*A_Load/12</f>
        <v/>
      </c>
      <c r="Q28" s="58">
        <f>Q16*_xlfn.XLOOKUP($A28,A_DeptNames,A_DeptSal)*Q$25*A_Load/12</f>
        <v/>
      </c>
      <c r="R28" s="58">
        <f>R16*_xlfn.XLOOKUP($A28,A_DeptNames,A_DeptSal)*R$25*A_Load/12</f>
        <v/>
      </c>
      <c r="S28" s="58">
        <f>S16*_xlfn.XLOOKUP($A28,A_DeptNames,A_DeptSal)*S$25*A_Load/12</f>
        <v/>
      </c>
      <c r="T28" s="58">
        <f>T16*_xlfn.XLOOKUP($A28,A_DeptNames,A_DeptSal)*T$25*A_Load/12</f>
        <v/>
      </c>
      <c r="U28" s="58">
        <f>U16*_xlfn.XLOOKUP($A28,A_DeptNames,A_DeptSal)*U$25*A_Load/12</f>
        <v/>
      </c>
      <c r="V28" s="58">
        <f>V16*_xlfn.XLOOKUP($A28,A_DeptNames,A_DeptSal)*V$25*A_Load/12</f>
        <v/>
      </c>
      <c r="W28" s="58">
        <f>W16*_xlfn.XLOOKUP($A28,A_DeptNames,A_DeptSal)*W$25*A_Load/12</f>
        <v/>
      </c>
      <c r="X28" s="58">
        <f>X16*_xlfn.XLOOKUP($A28,A_DeptNames,A_DeptSal)*X$25*A_Load/12</f>
        <v/>
      </c>
      <c r="Y28" s="58">
        <f>Y16*_xlfn.XLOOKUP($A28,A_DeptNames,A_DeptSal)*Y$25*A_Load/12</f>
        <v/>
      </c>
      <c r="Z28" s="58">
        <f>Z16*_xlfn.XLOOKUP($A28,A_DeptNames,A_DeptSal)*Z$25*A_Load/12</f>
        <v/>
      </c>
      <c r="AA28" s="58">
        <f>AA16*_xlfn.XLOOKUP($A28,A_DeptNames,A_DeptSal)*AA$25*A_Load/12</f>
        <v/>
      </c>
      <c r="AB28" s="58">
        <f>AB16*_xlfn.XLOOKUP($A28,A_DeptNames,A_DeptSal)*AB$25*A_Load/12</f>
        <v/>
      </c>
      <c r="AC28" s="58">
        <f>AC16*_xlfn.XLOOKUP($A28,A_DeptNames,A_DeptSal)*AC$25*A_Load/12</f>
        <v/>
      </c>
      <c r="AD28" s="58">
        <f>AD16*_xlfn.XLOOKUP($A28,A_DeptNames,A_DeptSal)*AD$25*A_Load/12</f>
        <v/>
      </c>
      <c r="AE28" s="58">
        <f>AE16*_xlfn.XLOOKUP($A28,A_DeptNames,A_DeptSal)*AE$25*A_Load/12</f>
        <v/>
      </c>
      <c r="AF28" s="58">
        <f>AF16*_xlfn.XLOOKUP($A28,A_DeptNames,A_DeptSal)*AF$25*A_Load/12</f>
        <v/>
      </c>
      <c r="AG28" s="58">
        <f>AG16*_xlfn.XLOOKUP($A28,A_DeptNames,A_DeptSal)*AG$25*A_Load/12</f>
        <v/>
      </c>
      <c r="AH28" s="58">
        <f>AH16*_xlfn.XLOOKUP($A28,A_DeptNames,A_DeptSal)*AH$25*A_Load/12</f>
        <v/>
      </c>
      <c r="AI28" s="58">
        <f>AI16*_xlfn.XLOOKUP($A28,A_DeptNames,A_DeptSal)*AI$25*A_Load/12</f>
        <v/>
      </c>
      <c r="AJ28" s="58">
        <f>AJ16*_xlfn.XLOOKUP($A28,A_DeptNames,A_DeptSal)*AJ$25*A_Load/12</f>
        <v/>
      </c>
      <c r="AK28" s="58">
        <f>AK16*_xlfn.XLOOKUP($A28,A_DeptNames,A_DeptSal)*AK$25*A_Load/12</f>
        <v/>
      </c>
      <c r="AL28" s="58">
        <f>AL16*_xlfn.XLOOKUP($A28,A_DeptNames,A_DeptSal)*AL$25*A_Load/12</f>
        <v/>
      </c>
    </row>
    <row r="29">
      <c r="A29" s="33" t="inlineStr">
        <is>
          <t>Product</t>
        </is>
      </c>
      <c r="B29" s="34" t="inlineStr">
        <is>
          <t>$</t>
        </is>
      </c>
      <c r="C29" s="58">
        <f>C17*_xlfn.XLOOKUP($A29,A_DeptNames,A_DeptSal)*C$25*A_Load/12</f>
        <v/>
      </c>
      <c r="D29" s="58">
        <f>D17*_xlfn.XLOOKUP($A29,A_DeptNames,A_DeptSal)*D$25*A_Load/12</f>
        <v/>
      </c>
      <c r="E29" s="58">
        <f>E17*_xlfn.XLOOKUP($A29,A_DeptNames,A_DeptSal)*E$25*A_Load/12</f>
        <v/>
      </c>
      <c r="F29" s="58">
        <f>F17*_xlfn.XLOOKUP($A29,A_DeptNames,A_DeptSal)*F$25*A_Load/12</f>
        <v/>
      </c>
      <c r="G29" s="58">
        <f>G17*_xlfn.XLOOKUP($A29,A_DeptNames,A_DeptSal)*G$25*A_Load/12</f>
        <v/>
      </c>
      <c r="H29" s="58">
        <f>H17*_xlfn.XLOOKUP($A29,A_DeptNames,A_DeptSal)*H$25*A_Load/12</f>
        <v/>
      </c>
      <c r="I29" s="58">
        <f>I17*_xlfn.XLOOKUP($A29,A_DeptNames,A_DeptSal)*I$25*A_Load/12</f>
        <v/>
      </c>
      <c r="J29" s="58">
        <f>J17*_xlfn.XLOOKUP($A29,A_DeptNames,A_DeptSal)*J$25*A_Load/12</f>
        <v/>
      </c>
      <c r="K29" s="58">
        <f>K17*_xlfn.XLOOKUP($A29,A_DeptNames,A_DeptSal)*K$25*A_Load/12</f>
        <v/>
      </c>
      <c r="L29" s="58">
        <f>L17*_xlfn.XLOOKUP($A29,A_DeptNames,A_DeptSal)*L$25*A_Load/12</f>
        <v/>
      </c>
      <c r="M29" s="58">
        <f>M17*_xlfn.XLOOKUP($A29,A_DeptNames,A_DeptSal)*M$25*A_Load/12</f>
        <v/>
      </c>
      <c r="N29" s="58">
        <f>N17*_xlfn.XLOOKUP($A29,A_DeptNames,A_DeptSal)*N$25*A_Load/12</f>
        <v/>
      </c>
      <c r="O29" s="58">
        <f>O17*_xlfn.XLOOKUP($A29,A_DeptNames,A_DeptSal)*O$25*A_Load/12</f>
        <v/>
      </c>
      <c r="P29" s="58">
        <f>P17*_xlfn.XLOOKUP($A29,A_DeptNames,A_DeptSal)*P$25*A_Load/12</f>
        <v/>
      </c>
      <c r="Q29" s="58">
        <f>Q17*_xlfn.XLOOKUP($A29,A_DeptNames,A_DeptSal)*Q$25*A_Load/12</f>
        <v/>
      </c>
      <c r="R29" s="58">
        <f>R17*_xlfn.XLOOKUP($A29,A_DeptNames,A_DeptSal)*R$25*A_Load/12</f>
        <v/>
      </c>
      <c r="S29" s="58">
        <f>S17*_xlfn.XLOOKUP($A29,A_DeptNames,A_DeptSal)*S$25*A_Load/12</f>
        <v/>
      </c>
      <c r="T29" s="58">
        <f>T17*_xlfn.XLOOKUP($A29,A_DeptNames,A_DeptSal)*T$25*A_Load/12</f>
        <v/>
      </c>
      <c r="U29" s="58">
        <f>U17*_xlfn.XLOOKUP($A29,A_DeptNames,A_DeptSal)*U$25*A_Load/12</f>
        <v/>
      </c>
      <c r="V29" s="58">
        <f>V17*_xlfn.XLOOKUP($A29,A_DeptNames,A_DeptSal)*V$25*A_Load/12</f>
        <v/>
      </c>
      <c r="W29" s="58">
        <f>W17*_xlfn.XLOOKUP($A29,A_DeptNames,A_DeptSal)*W$25*A_Load/12</f>
        <v/>
      </c>
      <c r="X29" s="58">
        <f>X17*_xlfn.XLOOKUP($A29,A_DeptNames,A_DeptSal)*X$25*A_Load/12</f>
        <v/>
      </c>
      <c r="Y29" s="58">
        <f>Y17*_xlfn.XLOOKUP($A29,A_DeptNames,A_DeptSal)*Y$25*A_Load/12</f>
        <v/>
      </c>
      <c r="Z29" s="58">
        <f>Z17*_xlfn.XLOOKUP($A29,A_DeptNames,A_DeptSal)*Z$25*A_Load/12</f>
        <v/>
      </c>
      <c r="AA29" s="58">
        <f>AA17*_xlfn.XLOOKUP($A29,A_DeptNames,A_DeptSal)*AA$25*A_Load/12</f>
        <v/>
      </c>
      <c r="AB29" s="58">
        <f>AB17*_xlfn.XLOOKUP($A29,A_DeptNames,A_DeptSal)*AB$25*A_Load/12</f>
        <v/>
      </c>
      <c r="AC29" s="58">
        <f>AC17*_xlfn.XLOOKUP($A29,A_DeptNames,A_DeptSal)*AC$25*A_Load/12</f>
        <v/>
      </c>
      <c r="AD29" s="58">
        <f>AD17*_xlfn.XLOOKUP($A29,A_DeptNames,A_DeptSal)*AD$25*A_Load/12</f>
        <v/>
      </c>
      <c r="AE29" s="58">
        <f>AE17*_xlfn.XLOOKUP($A29,A_DeptNames,A_DeptSal)*AE$25*A_Load/12</f>
        <v/>
      </c>
      <c r="AF29" s="58">
        <f>AF17*_xlfn.XLOOKUP($A29,A_DeptNames,A_DeptSal)*AF$25*A_Load/12</f>
        <v/>
      </c>
      <c r="AG29" s="58">
        <f>AG17*_xlfn.XLOOKUP($A29,A_DeptNames,A_DeptSal)*AG$25*A_Load/12</f>
        <v/>
      </c>
      <c r="AH29" s="58">
        <f>AH17*_xlfn.XLOOKUP($A29,A_DeptNames,A_DeptSal)*AH$25*A_Load/12</f>
        <v/>
      </c>
      <c r="AI29" s="58">
        <f>AI17*_xlfn.XLOOKUP($A29,A_DeptNames,A_DeptSal)*AI$25*A_Load/12</f>
        <v/>
      </c>
      <c r="AJ29" s="58">
        <f>AJ17*_xlfn.XLOOKUP($A29,A_DeptNames,A_DeptSal)*AJ$25*A_Load/12</f>
        <v/>
      </c>
      <c r="AK29" s="58">
        <f>AK17*_xlfn.XLOOKUP($A29,A_DeptNames,A_DeptSal)*AK$25*A_Load/12</f>
        <v/>
      </c>
      <c r="AL29" s="58">
        <f>AL17*_xlfn.XLOOKUP($A29,A_DeptNames,A_DeptSal)*AL$25*A_Load/12</f>
        <v/>
      </c>
    </row>
    <row r="30">
      <c r="A30" s="33" t="inlineStr">
        <is>
          <t>Sales</t>
        </is>
      </c>
      <c r="B30" s="34" t="inlineStr">
        <is>
          <t>$</t>
        </is>
      </c>
      <c r="C30" s="58">
        <f>C18*_xlfn.XLOOKUP($A30,A_DeptNames,A_DeptSal)*C$25*A_Load/12</f>
        <v/>
      </c>
      <c r="D30" s="58">
        <f>D18*_xlfn.XLOOKUP($A30,A_DeptNames,A_DeptSal)*D$25*A_Load/12</f>
        <v/>
      </c>
      <c r="E30" s="58">
        <f>E18*_xlfn.XLOOKUP($A30,A_DeptNames,A_DeptSal)*E$25*A_Load/12</f>
        <v/>
      </c>
      <c r="F30" s="58">
        <f>F18*_xlfn.XLOOKUP($A30,A_DeptNames,A_DeptSal)*F$25*A_Load/12</f>
        <v/>
      </c>
      <c r="G30" s="58">
        <f>G18*_xlfn.XLOOKUP($A30,A_DeptNames,A_DeptSal)*G$25*A_Load/12</f>
        <v/>
      </c>
      <c r="H30" s="58">
        <f>H18*_xlfn.XLOOKUP($A30,A_DeptNames,A_DeptSal)*H$25*A_Load/12</f>
        <v/>
      </c>
      <c r="I30" s="58">
        <f>I18*_xlfn.XLOOKUP($A30,A_DeptNames,A_DeptSal)*I$25*A_Load/12</f>
        <v/>
      </c>
      <c r="J30" s="58">
        <f>J18*_xlfn.XLOOKUP($A30,A_DeptNames,A_DeptSal)*J$25*A_Load/12</f>
        <v/>
      </c>
      <c r="K30" s="58">
        <f>K18*_xlfn.XLOOKUP($A30,A_DeptNames,A_DeptSal)*K$25*A_Load/12</f>
        <v/>
      </c>
      <c r="L30" s="58">
        <f>L18*_xlfn.XLOOKUP($A30,A_DeptNames,A_DeptSal)*L$25*A_Load/12</f>
        <v/>
      </c>
      <c r="M30" s="58">
        <f>M18*_xlfn.XLOOKUP($A30,A_DeptNames,A_DeptSal)*M$25*A_Load/12</f>
        <v/>
      </c>
      <c r="N30" s="58">
        <f>N18*_xlfn.XLOOKUP($A30,A_DeptNames,A_DeptSal)*N$25*A_Load/12</f>
        <v/>
      </c>
      <c r="O30" s="58">
        <f>O18*_xlfn.XLOOKUP($A30,A_DeptNames,A_DeptSal)*O$25*A_Load/12</f>
        <v/>
      </c>
      <c r="P30" s="58">
        <f>P18*_xlfn.XLOOKUP($A30,A_DeptNames,A_DeptSal)*P$25*A_Load/12</f>
        <v/>
      </c>
      <c r="Q30" s="58">
        <f>Q18*_xlfn.XLOOKUP($A30,A_DeptNames,A_DeptSal)*Q$25*A_Load/12</f>
        <v/>
      </c>
      <c r="R30" s="58">
        <f>R18*_xlfn.XLOOKUP($A30,A_DeptNames,A_DeptSal)*R$25*A_Load/12</f>
        <v/>
      </c>
      <c r="S30" s="58">
        <f>S18*_xlfn.XLOOKUP($A30,A_DeptNames,A_DeptSal)*S$25*A_Load/12</f>
        <v/>
      </c>
      <c r="T30" s="58">
        <f>T18*_xlfn.XLOOKUP($A30,A_DeptNames,A_DeptSal)*T$25*A_Load/12</f>
        <v/>
      </c>
      <c r="U30" s="58">
        <f>U18*_xlfn.XLOOKUP($A30,A_DeptNames,A_DeptSal)*U$25*A_Load/12</f>
        <v/>
      </c>
      <c r="V30" s="58">
        <f>V18*_xlfn.XLOOKUP($A30,A_DeptNames,A_DeptSal)*V$25*A_Load/12</f>
        <v/>
      </c>
      <c r="W30" s="58">
        <f>W18*_xlfn.XLOOKUP($A30,A_DeptNames,A_DeptSal)*W$25*A_Load/12</f>
        <v/>
      </c>
      <c r="X30" s="58">
        <f>X18*_xlfn.XLOOKUP($A30,A_DeptNames,A_DeptSal)*X$25*A_Load/12</f>
        <v/>
      </c>
      <c r="Y30" s="58">
        <f>Y18*_xlfn.XLOOKUP($A30,A_DeptNames,A_DeptSal)*Y$25*A_Load/12</f>
        <v/>
      </c>
      <c r="Z30" s="58">
        <f>Z18*_xlfn.XLOOKUP($A30,A_DeptNames,A_DeptSal)*Z$25*A_Load/12</f>
        <v/>
      </c>
      <c r="AA30" s="58">
        <f>AA18*_xlfn.XLOOKUP($A30,A_DeptNames,A_DeptSal)*AA$25*A_Load/12</f>
        <v/>
      </c>
      <c r="AB30" s="58">
        <f>AB18*_xlfn.XLOOKUP($A30,A_DeptNames,A_DeptSal)*AB$25*A_Load/12</f>
        <v/>
      </c>
      <c r="AC30" s="58">
        <f>AC18*_xlfn.XLOOKUP($A30,A_DeptNames,A_DeptSal)*AC$25*A_Load/12</f>
        <v/>
      </c>
      <c r="AD30" s="58">
        <f>AD18*_xlfn.XLOOKUP($A30,A_DeptNames,A_DeptSal)*AD$25*A_Load/12</f>
        <v/>
      </c>
      <c r="AE30" s="58">
        <f>AE18*_xlfn.XLOOKUP($A30,A_DeptNames,A_DeptSal)*AE$25*A_Load/12</f>
        <v/>
      </c>
      <c r="AF30" s="58">
        <f>AF18*_xlfn.XLOOKUP($A30,A_DeptNames,A_DeptSal)*AF$25*A_Load/12</f>
        <v/>
      </c>
      <c r="AG30" s="58">
        <f>AG18*_xlfn.XLOOKUP($A30,A_DeptNames,A_DeptSal)*AG$25*A_Load/12</f>
        <v/>
      </c>
      <c r="AH30" s="58">
        <f>AH18*_xlfn.XLOOKUP($A30,A_DeptNames,A_DeptSal)*AH$25*A_Load/12</f>
        <v/>
      </c>
      <c r="AI30" s="58">
        <f>AI18*_xlfn.XLOOKUP($A30,A_DeptNames,A_DeptSal)*AI$25*A_Load/12</f>
        <v/>
      </c>
      <c r="AJ30" s="58">
        <f>AJ18*_xlfn.XLOOKUP($A30,A_DeptNames,A_DeptSal)*AJ$25*A_Load/12</f>
        <v/>
      </c>
      <c r="AK30" s="58">
        <f>AK18*_xlfn.XLOOKUP($A30,A_DeptNames,A_DeptSal)*AK$25*A_Load/12</f>
        <v/>
      </c>
      <c r="AL30" s="58">
        <f>AL18*_xlfn.XLOOKUP($A30,A_DeptNames,A_DeptSal)*AL$25*A_Load/12</f>
        <v/>
      </c>
    </row>
    <row r="31">
      <c r="A31" s="33" t="inlineStr">
        <is>
          <t>Marketing</t>
        </is>
      </c>
      <c r="B31" s="34" t="inlineStr">
        <is>
          <t>$</t>
        </is>
      </c>
      <c r="C31" s="58">
        <f>C19*_xlfn.XLOOKUP($A31,A_DeptNames,A_DeptSal)*C$25*A_Load/12</f>
        <v/>
      </c>
      <c r="D31" s="58">
        <f>D19*_xlfn.XLOOKUP($A31,A_DeptNames,A_DeptSal)*D$25*A_Load/12</f>
        <v/>
      </c>
      <c r="E31" s="58">
        <f>E19*_xlfn.XLOOKUP($A31,A_DeptNames,A_DeptSal)*E$25*A_Load/12</f>
        <v/>
      </c>
      <c r="F31" s="58">
        <f>F19*_xlfn.XLOOKUP($A31,A_DeptNames,A_DeptSal)*F$25*A_Load/12</f>
        <v/>
      </c>
      <c r="G31" s="58">
        <f>G19*_xlfn.XLOOKUP($A31,A_DeptNames,A_DeptSal)*G$25*A_Load/12</f>
        <v/>
      </c>
      <c r="H31" s="58">
        <f>H19*_xlfn.XLOOKUP($A31,A_DeptNames,A_DeptSal)*H$25*A_Load/12</f>
        <v/>
      </c>
      <c r="I31" s="58">
        <f>I19*_xlfn.XLOOKUP($A31,A_DeptNames,A_DeptSal)*I$25*A_Load/12</f>
        <v/>
      </c>
      <c r="J31" s="58">
        <f>J19*_xlfn.XLOOKUP($A31,A_DeptNames,A_DeptSal)*J$25*A_Load/12</f>
        <v/>
      </c>
      <c r="K31" s="58">
        <f>K19*_xlfn.XLOOKUP($A31,A_DeptNames,A_DeptSal)*K$25*A_Load/12</f>
        <v/>
      </c>
      <c r="L31" s="58">
        <f>L19*_xlfn.XLOOKUP($A31,A_DeptNames,A_DeptSal)*L$25*A_Load/12</f>
        <v/>
      </c>
      <c r="M31" s="58">
        <f>M19*_xlfn.XLOOKUP($A31,A_DeptNames,A_DeptSal)*M$25*A_Load/12</f>
        <v/>
      </c>
      <c r="N31" s="58">
        <f>N19*_xlfn.XLOOKUP($A31,A_DeptNames,A_DeptSal)*N$25*A_Load/12</f>
        <v/>
      </c>
      <c r="O31" s="58">
        <f>O19*_xlfn.XLOOKUP($A31,A_DeptNames,A_DeptSal)*O$25*A_Load/12</f>
        <v/>
      </c>
      <c r="P31" s="58">
        <f>P19*_xlfn.XLOOKUP($A31,A_DeptNames,A_DeptSal)*P$25*A_Load/12</f>
        <v/>
      </c>
      <c r="Q31" s="58">
        <f>Q19*_xlfn.XLOOKUP($A31,A_DeptNames,A_DeptSal)*Q$25*A_Load/12</f>
        <v/>
      </c>
      <c r="R31" s="58">
        <f>R19*_xlfn.XLOOKUP($A31,A_DeptNames,A_DeptSal)*R$25*A_Load/12</f>
        <v/>
      </c>
      <c r="S31" s="58">
        <f>S19*_xlfn.XLOOKUP($A31,A_DeptNames,A_DeptSal)*S$25*A_Load/12</f>
        <v/>
      </c>
      <c r="T31" s="58">
        <f>T19*_xlfn.XLOOKUP($A31,A_DeptNames,A_DeptSal)*T$25*A_Load/12</f>
        <v/>
      </c>
      <c r="U31" s="58">
        <f>U19*_xlfn.XLOOKUP($A31,A_DeptNames,A_DeptSal)*U$25*A_Load/12</f>
        <v/>
      </c>
      <c r="V31" s="58">
        <f>V19*_xlfn.XLOOKUP($A31,A_DeptNames,A_DeptSal)*V$25*A_Load/12</f>
        <v/>
      </c>
      <c r="W31" s="58">
        <f>W19*_xlfn.XLOOKUP($A31,A_DeptNames,A_DeptSal)*W$25*A_Load/12</f>
        <v/>
      </c>
      <c r="X31" s="58">
        <f>X19*_xlfn.XLOOKUP($A31,A_DeptNames,A_DeptSal)*X$25*A_Load/12</f>
        <v/>
      </c>
      <c r="Y31" s="58">
        <f>Y19*_xlfn.XLOOKUP($A31,A_DeptNames,A_DeptSal)*Y$25*A_Load/12</f>
        <v/>
      </c>
      <c r="Z31" s="58">
        <f>Z19*_xlfn.XLOOKUP($A31,A_DeptNames,A_DeptSal)*Z$25*A_Load/12</f>
        <v/>
      </c>
      <c r="AA31" s="58">
        <f>AA19*_xlfn.XLOOKUP($A31,A_DeptNames,A_DeptSal)*AA$25*A_Load/12</f>
        <v/>
      </c>
      <c r="AB31" s="58">
        <f>AB19*_xlfn.XLOOKUP($A31,A_DeptNames,A_DeptSal)*AB$25*A_Load/12</f>
        <v/>
      </c>
      <c r="AC31" s="58">
        <f>AC19*_xlfn.XLOOKUP($A31,A_DeptNames,A_DeptSal)*AC$25*A_Load/12</f>
        <v/>
      </c>
      <c r="AD31" s="58">
        <f>AD19*_xlfn.XLOOKUP($A31,A_DeptNames,A_DeptSal)*AD$25*A_Load/12</f>
        <v/>
      </c>
      <c r="AE31" s="58">
        <f>AE19*_xlfn.XLOOKUP($A31,A_DeptNames,A_DeptSal)*AE$25*A_Load/12</f>
        <v/>
      </c>
      <c r="AF31" s="58">
        <f>AF19*_xlfn.XLOOKUP($A31,A_DeptNames,A_DeptSal)*AF$25*A_Load/12</f>
        <v/>
      </c>
      <c r="AG31" s="58">
        <f>AG19*_xlfn.XLOOKUP($A31,A_DeptNames,A_DeptSal)*AG$25*A_Load/12</f>
        <v/>
      </c>
      <c r="AH31" s="58">
        <f>AH19*_xlfn.XLOOKUP($A31,A_DeptNames,A_DeptSal)*AH$25*A_Load/12</f>
        <v/>
      </c>
      <c r="AI31" s="58">
        <f>AI19*_xlfn.XLOOKUP($A31,A_DeptNames,A_DeptSal)*AI$25*A_Load/12</f>
        <v/>
      </c>
      <c r="AJ31" s="58">
        <f>AJ19*_xlfn.XLOOKUP($A31,A_DeptNames,A_DeptSal)*AJ$25*A_Load/12</f>
        <v/>
      </c>
      <c r="AK31" s="58">
        <f>AK19*_xlfn.XLOOKUP($A31,A_DeptNames,A_DeptSal)*AK$25*A_Load/12</f>
        <v/>
      </c>
      <c r="AL31" s="58">
        <f>AL19*_xlfn.XLOOKUP($A31,A_DeptNames,A_DeptSal)*AL$25*A_Load/12</f>
        <v/>
      </c>
    </row>
    <row r="32">
      <c r="A32" s="33" t="inlineStr">
        <is>
          <t>Customer Success</t>
        </is>
      </c>
      <c r="B32" s="34" t="inlineStr">
        <is>
          <t>$</t>
        </is>
      </c>
      <c r="C32" s="58">
        <f>C20*_xlfn.XLOOKUP($A32,A_DeptNames,A_DeptSal)*C$25*A_Load/12</f>
        <v/>
      </c>
      <c r="D32" s="58">
        <f>D20*_xlfn.XLOOKUP($A32,A_DeptNames,A_DeptSal)*D$25*A_Load/12</f>
        <v/>
      </c>
      <c r="E32" s="58">
        <f>E20*_xlfn.XLOOKUP($A32,A_DeptNames,A_DeptSal)*E$25*A_Load/12</f>
        <v/>
      </c>
      <c r="F32" s="58">
        <f>F20*_xlfn.XLOOKUP($A32,A_DeptNames,A_DeptSal)*F$25*A_Load/12</f>
        <v/>
      </c>
      <c r="G32" s="58">
        <f>G20*_xlfn.XLOOKUP($A32,A_DeptNames,A_DeptSal)*G$25*A_Load/12</f>
        <v/>
      </c>
      <c r="H32" s="58">
        <f>H20*_xlfn.XLOOKUP($A32,A_DeptNames,A_DeptSal)*H$25*A_Load/12</f>
        <v/>
      </c>
      <c r="I32" s="58">
        <f>I20*_xlfn.XLOOKUP($A32,A_DeptNames,A_DeptSal)*I$25*A_Load/12</f>
        <v/>
      </c>
      <c r="J32" s="58">
        <f>J20*_xlfn.XLOOKUP($A32,A_DeptNames,A_DeptSal)*J$25*A_Load/12</f>
        <v/>
      </c>
      <c r="K32" s="58">
        <f>K20*_xlfn.XLOOKUP($A32,A_DeptNames,A_DeptSal)*K$25*A_Load/12</f>
        <v/>
      </c>
      <c r="L32" s="58">
        <f>L20*_xlfn.XLOOKUP($A32,A_DeptNames,A_DeptSal)*L$25*A_Load/12</f>
        <v/>
      </c>
      <c r="M32" s="58">
        <f>M20*_xlfn.XLOOKUP($A32,A_DeptNames,A_DeptSal)*M$25*A_Load/12</f>
        <v/>
      </c>
      <c r="N32" s="58">
        <f>N20*_xlfn.XLOOKUP($A32,A_DeptNames,A_DeptSal)*N$25*A_Load/12</f>
        <v/>
      </c>
      <c r="O32" s="58">
        <f>O20*_xlfn.XLOOKUP($A32,A_DeptNames,A_DeptSal)*O$25*A_Load/12</f>
        <v/>
      </c>
      <c r="P32" s="58">
        <f>P20*_xlfn.XLOOKUP($A32,A_DeptNames,A_DeptSal)*P$25*A_Load/12</f>
        <v/>
      </c>
      <c r="Q32" s="58">
        <f>Q20*_xlfn.XLOOKUP($A32,A_DeptNames,A_DeptSal)*Q$25*A_Load/12</f>
        <v/>
      </c>
      <c r="R32" s="58">
        <f>R20*_xlfn.XLOOKUP($A32,A_DeptNames,A_DeptSal)*R$25*A_Load/12</f>
        <v/>
      </c>
      <c r="S32" s="58">
        <f>S20*_xlfn.XLOOKUP($A32,A_DeptNames,A_DeptSal)*S$25*A_Load/12</f>
        <v/>
      </c>
      <c r="T32" s="58">
        <f>T20*_xlfn.XLOOKUP($A32,A_DeptNames,A_DeptSal)*T$25*A_Load/12</f>
        <v/>
      </c>
      <c r="U32" s="58">
        <f>U20*_xlfn.XLOOKUP($A32,A_DeptNames,A_DeptSal)*U$25*A_Load/12</f>
        <v/>
      </c>
      <c r="V32" s="58">
        <f>V20*_xlfn.XLOOKUP($A32,A_DeptNames,A_DeptSal)*V$25*A_Load/12</f>
        <v/>
      </c>
      <c r="W32" s="58">
        <f>W20*_xlfn.XLOOKUP($A32,A_DeptNames,A_DeptSal)*W$25*A_Load/12</f>
        <v/>
      </c>
      <c r="X32" s="58">
        <f>X20*_xlfn.XLOOKUP($A32,A_DeptNames,A_DeptSal)*X$25*A_Load/12</f>
        <v/>
      </c>
      <c r="Y32" s="58">
        <f>Y20*_xlfn.XLOOKUP($A32,A_DeptNames,A_DeptSal)*Y$25*A_Load/12</f>
        <v/>
      </c>
      <c r="Z32" s="58">
        <f>Z20*_xlfn.XLOOKUP($A32,A_DeptNames,A_DeptSal)*Z$25*A_Load/12</f>
        <v/>
      </c>
      <c r="AA32" s="58">
        <f>AA20*_xlfn.XLOOKUP($A32,A_DeptNames,A_DeptSal)*AA$25*A_Load/12</f>
        <v/>
      </c>
      <c r="AB32" s="58">
        <f>AB20*_xlfn.XLOOKUP($A32,A_DeptNames,A_DeptSal)*AB$25*A_Load/12</f>
        <v/>
      </c>
      <c r="AC32" s="58">
        <f>AC20*_xlfn.XLOOKUP($A32,A_DeptNames,A_DeptSal)*AC$25*A_Load/12</f>
        <v/>
      </c>
      <c r="AD32" s="58">
        <f>AD20*_xlfn.XLOOKUP($A32,A_DeptNames,A_DeptSal)*AD$25*A_Load/12</f>
        <v/>
      </c>
      <c r="AE32" s="58">
        <f>AE20*_xlfn.XLOOKUP($A32,A_DeptNames,A_DeptSal)*AE$25*A_Load/12</f>
        <v/>
      </c>
      <c r="AF32" s="58">
        <f>AF20*_xlfn.XLOOKUP($A32,A_DeptNames,A_DeptSal)*AF$25*A_Load/12</f>
        <v/>
      </c>
      <c r="AG32" s="58">
        <f>AG20*_xlfn.XLOOKUP($A32,A_DeptNames,A_DeptSal)*AG$25*A_Load/12</f>
        <v/>
      </c>
      <c r="AH32" s="58">
        <f>AH20*_xlfn.XLOOKUP($A32,A_DeptNames,A_DeptSal)*AH$25*A_Load/12</f>
        <v/>
      </c>
      <c r="AI32" s="58">
        <f>AI20*_xlfn.XLOOKUP($A32,A_DeptNames,A_DeptSal)*AI$25*A_Load/12</f>
        <v/>
      </c>
      <c r="AJ32" s="58">
        <f>AJ20*_xlfn.XLOOKUP($A32,A_DeptNames,A_DeptSal)*AJ$25*A_Load/12</f>
        <v/>
      </c>
      <c r="AK32" s="58">
        <f>AK20*_xlfn.XLOOKUP($A32,A_DeptNames,A_DeptSal)*AK$25*A_Load/12</f>
        <v/>
      </c>
      <c r="AL32" s="58">
        <f>AL20*_xlfn.XLOOKUP($A32,A_DeptNames,A_DeptSal)*AL$25*A_Load/12</f>
        <v/>
      </c>
    </row>
    <row r="33">
      <c r="A33" s="33" t="inlineStr">
        <is>
          <t>G&amp;A</t>
        </is>
      </c>
      <c r="B33" s="34" t="inlineStr">
        <is>
          <t>$</t>
        </is>
      </c>
      <c r="C33" s="58">
        <f>C21*_xlfn.XLOOKUP($A33,A_DeptNames,A_DeptSal)*C$25*A_Load/12</f>
        <v/>
      </c>
      <c r="D33" s="58">
        <f>D21*_xlfn.XLOOKUP($A33,A_DeptNames,A_DeptSal)*D$25*A_Load/12</f>
        <v/>
      </c>
      <c r="E33" s="58">
        <f>E21*_xlfn.XLOOKUP($A33,A_DeptNames,A_DeptSal)*E$25*A_Load/12</f>
        <v/>
      </c>
      <c r="F33" s="58">
        <f>F21*_xlfn.XLOOKUP($A33,A_DeptNames,A_DeptSal)*F$25*A_Load/12</f>
        <v/>
      </c>
      <c r="G33" s="58">
        <f>G21*_xlfn.XLOOKUP($A33,A_DeptNames,A_DeptSal)*G$25*A_Load/12</f>
        <v/>
      </c>
      <c r="H33" s="58">
        <f>H21*_xlfn.XLOOKUP($A33,A_DeptNames,A_DeptSal)*H$25*A_Load/12</f>
        <v/>
      </c>
      <c r="I33" s="58">
        <f>I21*_xlfn.XLOOKUP($A33,A_DeptNames,A_DeptSal)*I$25*A_Load/12</f>
        <v/>
      </c>
      <c r="J33" s="58">
        <f>J21*_xlfn.XLOOKUP($A33,A_DeptNames,A_DeptSal)*J$25*A_Load/12</f>
        <v/>
      </c>
      <c r="K33" s="58">
        <f>K21*_xlfn.XLOOKUP($A33,A_DeptNames,A_DeptSal)*K$25*A_Load/12</f>
        <v/>
      </c>
      <c r="L33" s="58">
        <f>L21*_xlfn.XLOOKUP($A33,A_DeptNames,A_DeptSal)*L$25*A_Load/12</f>
        <v/>
      </c>
      <c r="M33" s="58">
        <f>M21*_xlfn.XLOOKUP($A33,A_DeptNames,A_DeptSal)*M$25*A_Load/12</f>
        <v/>
      </c>
      <c r="N33" s="58">
        <f>N21*_xlfn.XLOOKUP($A33,A_DeptNames,A_DeptSal)*N$25*A_Load/12</f>
        <v/>
      </c>
      <c r="O33" s="58">
        <f>O21*_xlfn.XLOOKUP($A33,A_DeptNames,A_DeptSal)*O$25*A_Load/12</f>
        <v/>
      </c>
      <c r="P33" s="58">
        <f>P21*_xlfn.XLOOKUP($A33,A_DeptNames,A_DeptSal)*P$25*A_Load/12</f>
        <v/>
      </c>
      <c r="Q33" s="58">
        <f>Q21*_xlfn.XLOOKUP($A33,A_DeptNames,A_DeptSal)*Q$25*A_Load/12</f>
        <v/>
      </c>
      <c r="R33" s="58">
        <f>R21*_xlfn.XLOOKUP($A33,A_DeptNames,A_DeptSal)*R$25*A_Load/12</f>
        <v/>
      </c>
      <c r="S33" s="58">
        <f>S21*_xlfn.XLOOKUP($A33,A_DeptNames,A_DeptSal)*S$25*A_Load/12</f>
        <v/>
      </c>
      <c r="T33" s="58">
        <f>T21*_xlfn.XLOOKUP($A33,A_DeptNames,A_DeptSal)*T$25*A_Load/12</f>
        <v/>
      </c>
      <c r="U33" s="58">
        <f>U21*_xlfn.XLOOKUP($A33,A_DeptNames,A_DeptSal)*U$25*A_Load/12</f>
        <v/>
      </c>
      <c r="V33" s="58">
        <f>V21*_xlfn.XLOOKUP($A33,A_DeptNames,A_DeptSal)*V$25*A_Load/12</f>
        <v/>
      </c>
      <c r="W33" s="58">
        <f>W21*_xlfn.XLOOKUP($A33,A_DeptNames,A_DeptSal)*W$25*A_Load/12</f>
        <v/>
      </c>
      <c r="X33" s="58">
        <f>X21*_xlfn.XLOOKUP($A33,A_DeptNames,A_DeptSal)*X$25*A_Load/12</f>
        <v/>
      </c>
      <c r="Y33" s="58">
        <f>Y21*_xlfn.XLOOKUP($A33,A_DeptNames,A_DeptSal)*Y$25*A_Load/12</f>
        <v/>
      </c>
      <c r="Z33" s="58">
        <f>Z21*_xlfn.XLOOKUP($A33,A_DeptNames,A_DeptSal)*Z$25*A_Load/12</f>
        <v/>
      </c>
      <c r="AA33" s="58">
        <f>AA21*_xlfn.XLOOKUP($A33,A_DeptNames,A_DeptSal)*AA$25*A_Load/12</f>
        <v/>
      </c>
      <c r="AB33" s="58">
        <f>AB21*_xlfn.XLOOKUP($A33,A_DeptNames,A_DeptSal)*AB$25*A_Load/12</f>
        <v/>
      </c>
      <c r="AC33" s="58">
        <f>AC21*_xlfn.XLOOKUP($A33,A_DeptNames,A_DeptSal)*AC$25*A_Load/12</f>
        <v/>
      </c>
      <c r="AD33" s="58">
        <f>AD21*_xlfn.XLOOKUP($A33,A_DeptNames,A_DeptSal)*AD$25*A_Load/12</f>
        <v/>
      </c>
      <c r="AE33" s="58">
        <f>AE21*_xlfn.XLOOKUP($A33,A_DeptNames,A_DeptSal)*AE$25*A_Load/12</f>
        <v/>
      </c>
      <c r="AF33" s="58">
        <f>AF21*_xlfn.XLOOKUP($A33,A_DeptNames,A_DeptSal)*AF$25*A_Load/12</f>
        <v/>
      </c>
      <c r="AG33" s="58">
        <f>AG21*_xlfn.XLOOKUP($A33,A_DeptNames,A_DeptSal)*AG$25*A_Load/12</f>
        <v/>
      </c>
      <c r="AH33" s="58">
        <f>AH21*_xlfn.XLOOKUP($A33,A_DeptNames,A_DeptSal)*AH$25*A_Load/12</f>
        <v/>
      </c>
      <c r="AI33" s="58">
        <f>AI21*_xlfn.XLOOKUP($A33,A_DeptNames,A_DeptSal)*AI$25*A_Load/12</f>
        <v/>
      </c>
      <c r="AJ33" s="58">
        <f>AJ21*_xlfn.XLOOKUP($A33,A_DeptNames,A_DeptSal)*AJ$25*A_Load/12</f>
        <v/>
      </c>
      <c r="AK33" s="58">
        <f>AK21*_xlfn.XLOOKUP($A33,A_DeptNames,A_DeptSal)*AK$25*A_Load/12</f>
        <v/>
      </c>
      <c r="AL33" s="58">
        <f>AL21*_xlfn.XLOOKUP($A33,A_DeptNames,A_DeptSal)*AL$25*A_Load/12</f>
        <v/>
      </c>
    </row>
    <row r="34">
      <c r="A34" s="59" t="inlineStr">
        <is>
          <t>Total fully loaded payroll</t>
        </is>
      </c>
      <c r="B34" s="60" t="inlineStr">
        <is>
          <t>$</t>
        </is>
      </c>
      <c r="C34" s="61">
        <f>SUM(C28:C33)</f>
        <v/>
      </c>
      <c r="D34" s="61">
        <f>SUM(D28:D33)</f>
        <v/>
      </c>
      <c r="E34" s="61">
        <f>SUM(E28:E33)</f>
        <v/>
      </c>
      <c r="F34" s="61">
        <f>SUM(F28:F33)</f>
        <v/>
      </c>
      <c r="G34" s="61">
        <f>SUM(G28:G33)</f>
        <v/>
      </c>
      <c r="H34" s="61">
        <f>SUM(H28:H33)</f>
        <v/>
      </c>
      <c r="I34" s="61">
        <f>SUM(I28:I33)</f>
        <v/>
      </c>
      <c r="J34" s="61">
        <f>SUM(J28:J33)</f>
        <v/>
      </c>
      <c r="K34" s="61">
        <f>SUM(K28:K33)</f>
        <v/>
      </c>
      <c r="L34" s="61">
        <f>SUM(L28:L33)</f>
        <v/>
      </c>
      <c r="M34" s="61">
        <f>SUM(M28:M33)</f>
        <v/>
      </c>
      <c r="N34" s="61">
        <f>SUM(N28:N33)</f>
        <v/>
      </c>
      <c r="O34" s="61">
        <f>SUM(O28:O33)</f>
        <v/>
      </c>
      <c r="P34" s="61">
        <f>SUM(P28:P33)</f>
        <v/>
      </c>
      <c r="Q34" s="61">
        <f>SUM(Q28:Q33)</f>
        <v/>
      </c>
      <c r="R34" s="61">
        <f>SUM(R28:R33)</f>
        <v/>
      </c>
      <c r="S34" s="61">
        <f>SUM(S28:S33)</f>
        <v/>
      </c>
      <c r="T34" s="61">
        <f>SUM(T28:T33)</f>
        <v/>
      </c>
      <c r="U34" s="61">
        <f>SUM(U28:U33)</f>
        <v/>
      </c>
      <c r="V34" s="61">
        <f>SUM(V28:V33)</f>
        <v/>
      </c>
      <c r="W34" s="61">
        <f>SUM(W28:W33)</f>
        <v/>
      </c>
      <c r="X34" s="61">
        <f>SUM(X28:X33)</f>
        <v/>
      </c>
      <c r="Y34" s="61">
        <f>SUM(Y28:Y33)</f>
        <v/>
      </c>
      <c r="Z34" s="61">
        <f>SUM(Z28:Z33)</f>
        <v/>
      </c>
      <c r="AA34" s="61">
        <f>SUM(AA28:AA33)</f>
        <v/>
      </c>
      <c r="AB34" s="61">
        <f>SUM(AB28:AB33)</f>
        <v/>
      </c>
      <c r="AC34" s="61">
        <f>SUM(AC28:AC33)</f>
        <v/>
      </c>
      <c r="AD34" s="61">
        <f>SUM(AD28:AD33)</f>
        <v/>
      </c>
      <c r="AE34" s="61">
        <f>SUM(AE28:AE33)</f>
        <v/>
      </c>
      <c r="AF34" s="61">
        <f>SUM(AF28:AF33)</f>
        <v/>
      </c>
      <c r="AG34" s="61">
        <f>SUM(AG28:AG33)</f>
        <v/>
      </c>
      <c r="AH34" s="61">
        <f>SUM(AH28:AH33)</f>
        <v/>
      </c>
      <c r="AI34" s="61">
        <f>SUM(AI28:AI33)</f>
        <v/>
      </c>
      <c r="AJ34" s="61">
        <f>SUM(AJ28:AJ33)</f>
        <v/>
      </c>
      <c r="AK34" s="61">
        <f>SUM(AK28:AK33)</f>
        <v/>
      </c>
      <c r="AL34" s="61">
        <f>SUM(AL28:AL33)</f>
        <v/>
      </c>
    </row>
    <row r="36" ht="24" customHeight="1">
      <c r="A36" s="64" t="inlineStr">
        <is>
          <t>Feeds the payroll lines on Operating Expenses by formula. Customer Success is split between COGS (support) and S&amp;M on the Operating Expenses sheet.</t>
        </is>
      </c>
    </row>
  </sheetData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Analytics&amp;RHeadcount</oddHeader>
    <oddFooter>&amp;LFP&amp;&amp;A Planning Model v1.0&amp;CConfidential&amp;RPage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6F8FAF"/>
    <outlinePr summaryBelow="1" summaryRight="1"/>
    <pageSetUpPr fitToPage="1"/>
  </sheetPr>
  <dimension ref="A1:AP39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328125" defaultRowHeight="14.5"/>
  <cols>
    <col width="36" customWidth="1" min="1" max="1"/>
    <col width="9" customWidth="1" min="2" max="2"/>
    <col width="11.453125" customWidth="1" min="3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Operating Expenses</t>
        </is>
      </c>
      <c r="B2" s="14" t="n"/>
      <c r="C2" s="14" t="n"/>
      <c r="D2" s="14" t="n"/>
      <c r="E2" s="17" t="inlineStr">
        <is>
          <t>COGS, S&amp;M, R&amp;D, G&amp;A; capex placeholder and depreciation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>
      <c r="A5" s="54" t="inlineStr">
        <is>
          <t>Month</t>
        </is>
      </c>
      <c r="C5" s="55">
        <f>ModelStart</f>
        <v/>
      </c>
      <c r="D5" s="55">
        <f>EDATE(C5,1)</f>
        <v/>
      </c>
      <c r="E5" s="55">
        <f>EDATE(D5,1)</f>
        <v/>
      </c>
      <c r="F5" s="55">
        <f>EDATE(E5,1)</f>
        <v/>
      </c>
      <c r="G5" s="55">
        <f>EDATE(F5,1)</f>
        <v/>
      </c>
      <c r="H5" s="55">
        <f>EDATE(G5,1)</f>
        <v/>
      </c>
      <c r="I5" s="55">
        <f>EDATE(H5,1)</f>
        <v/>
      </c>
      <c r="J5" s="55">
        <f>EDATE(I5,1)</f>
        <v/>
      </c>
      <c r="K5" s="55">
        <f>EDATE(J5,1)</f>
        <v/>
      </c>
      <c r="L5" s="55">
        <f>EDATE(K5,1)</f>
        <v/>
      </c>
      <c r="M5" s="55">
        <f>EDATE(L5,1)</f>
        <v/>
      </c>
      <c r="N5" s="55">
        <f>EDATE(M5,1)</f>
        <v/>
      </c>
      <c r="O5" s="55">
        <f>EDATE(N5,1)</f>
        <v/>
      </c>
      <c r="P5" s="55">
        <f>EDATE(O5,1)</f>
        <v/>
      </c>
      <c r="Q5" s="55">
        <f>EDATE(P5,1)</f>
        <v/>
      </c>
      <c r="R5" s="55">
        <f>EDATE(Q5,1)</f>
        <v/>
      </c>
      <c r="S5" s="55">
        <f>EDATE(R5,1)</f>
        <v/>
      </c>
      <c r="T5" s="55">
        <f>EDATE(S5,1)</f>
        <v/>
      </c>
      <c r="U5" s="55">
        <f>EDATE(T5,1)</f>
        <v/>
      </c>
      <c r="V5" s="55">
        <f>EDATE(U5,1)</f>
        <v/>
      </c>
      <c r="W5" s="55">
        <f>EDATE(V5,1)</f>
        <v/>
      </c>
      <c r="X5" s="55">
        <f>EDATE(W5,1)</f>
        <v/>
      </c>
      <c r="Y5" s="55">
        <f>EDATE(X5,1)</f>
        <v/>
      </c>
      <c r="Z5" s="55">
        <f>EDATE(Y5,1)</f>
        <v/>
      </c>
      <c r="AA5" s="55">
        <f>EDATE(Z5,1)</f>
        <v/>
      </c>
      <c r="AB5" s="55">
        <f>EDATE(AA5,1)</f>
        <v/>
      </c>
      <c r="AC5" s="55">
        <f>EDATE(AB5,1)</f>
        <v/>
      </c>
      <c r="AD5" s="55">
        <f>EDATE(AC5,1)</f>
        <v/>
      </c>
      <c r="AE5" s="55">
        <f>EDATE(AD5,1)</f>
        <v/>
      </c>
      <c r="AF5" s="55">
        <f>EDATE(AE5,1)</f>
        <v/>
      </c>
      <c r="AG5" s="55">
        <f>EDATE(AF5,1)</f>
        <v/>
      </c>
      <c r="AH5" s="55">
        <f>EDATE(AG5,1)</f>
        <v/>
      </c>
      <c r="AI5" s="55">
        <f>EDATE(AH5,1)</f>
        <v/>
      </c>
      <c r="AJ5" s="55">
        <f>EDATE(AI5,1)</f>
        <v/>
      </c>
      <c r="AK5" s="55">
        <f>EDATE(AJ5,1)</f>
        <v/>
      </c>
      <c r="AL5" s="55">
        <f>EDATE(AK5,1)</f>
        <v/>
      </c>
    </row>
    <row r="7">
      <c r="A7" s="31" t="inlineStr">
        <is>
          <t>COST OF GOODS SOLD</t>
        </is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  <c r="AB7" s="32" t="n"/>
      <c r="AC7" s="32" t="n"/>
      <c r="AD7" s="32" t="n"/>
      <c r="AE7" s="32" t="n"/>
      <c r="AF7" s="32" t="n"/>
      <c r="AG7" s="32" t="n"/>
      <c r="AH7" s="32" t="n"/>
      <c r="AI7" s="32" t="n"/>
      <c r="AJ7" s="32" t="n"/>
      <c r="AK7" s="32" t="n"/>
      <c r="AL7" s="32" t="n"/>
      <c r="AM7" s="32" t="n"/>
      <c r="AN7" s="32" t="n"/>
      <c r="AO7" s="32" t="n"/>
      <c r="AP7" s="32" t="n"/>
    </row>
    <row r="8">
      <c r="A8" s="33" t="inlineStr">
        <is>
          <t>Hosting and infrastructure</t>
        </is>
      </c>
      <c r="B8" s="34" t="inlineStr">
        <is>
          <t>$</t>
        </is>
      </c>
      <c r="C8" s="67">
        <f>A_HostPct*'Revenue Model'!C36</f>
        <v/>
      </c>
      <c r="D8" s="67">
        <f>A_HostPct*'Revenue Model'!D36</f>
        <v/>
      </c>
      <c r="E8" s="67">
        <f>A_HostPct*'Revenue Model'!E36</f>
        <v/>
      </c>
      <c r="F8" s="67">
        <f>A_HostPct*'Revenue Model'!F36</f>
        <v/>
      </c>
      <c r="G8" s="67">
        <f>A_HostPct*'Revenue Model'!G36</f>
        <v/>
      </c>
      <c r="H8" s="67">
        <f>A_HostPct*'Revenue Model'!H36</f>
        <v/>
      </c>
      <c r="I8" s="67">
        <f>A_HostPct*'Revenue Model'!I36</f>
        <v/>
      </c>
      <c r="J8" s="67">
        <f>A_HostPct*'Revenue Model'!J36</f>
        <v/>
      </c>
      <c r="K8" s="67">
        <f>A_HostPct*'Revenue Model'!K36</f>
        <v/>
      </c>
      <c r="L8" s="67">
        <f>A_HostPct*'Revenue Model'!L36</f>
        <v/>
      </c>
      <c r="M8" s="67">
        <f>A_HostPct*'Revenue Model'!M36</f>
        <v/>
      </c>
      <c r="N8" s="67">
        <f>A_HostPct*'Revenue Model'!N36</f>
        <v/>
      </c>
      <c r="O8" s="67">
        <f>A_HostPct*'Revenue Model'!O36</f>
        <v/>
      </c>
      <c r="P8" s="67">
        <f>A_HostPct*'Revenue Model'!P36</f>
        <v/>
      </c>
      <c r="Q8" s="67">
        <f>A_HostPct*'Revenue Model'!Q36</f>
        <v/>
      </c>
      <c r="R8" s="67">
        <f>A_HostPct*'Revenue Model'!R36</f>
        <v/>
      </c>
      <c r="S8" s="67">
        <f>A_HostPct*'Revenue Model'!S36</f>
        <v/>
      </c>
      <c r="T8" s="67">
        <f>A_HostPct*'Revenue Model'!T36</f>
        <v/>
      </c>
      <c r="U8" s="67">
        <f>A_HostPct*'Revenue Model'!U36</f>
        <v/>
      </c>
      <c r="V8" s="67">
        <f>A_HostPct*'Revenue Model'!V36</f>
        <v/>
      </c>
      <c r="W8" s="67">
        <f>A_HostPct*'Revenue Model'!W36</f>
        <v/>
      </c>
      <c r="X8" s="67">
        <f>A_HostPct*'Revenue Model'!X36</f>
        <v/>
      </c>
      <c r="Y8" s="67">
        <f>A_HostPct*'Revenue Model'!Y36</f>
        <v/>
      </c>
      <c r="Z8" s="67">
        <f>A_HostPct*'Revenue Model'!Z36</f>
        <v/>
      </c>
      <c r="AA8" s="67">
        <f>A_HostPct*'Revenue Model'!AA36</f>
        <v/>
      </c>
      <c r="AB8" s="67">
        <f>A_HostPct*'Revenue Model'!AB36</f>
        <v/>
      </c>
      <c r="AC8" s="67">
        <f>A_HostPct*'Revenue Model'!AC36</f>
        <v/>
      </c>
      <c r="AD8" s="67">
        <f>A_HostPct*'Revenue Model'!AD36</f>
        <v/>
      </c>
      <c r="AE8" s="67">
        <f>A_HostPct*'Revenue Model'!AE36</f>
        <v/>
      </c>
      <c r="AF8" s="67">
        <f>A_HostPct*'Revenue Model'!AF36</f>
        <v/>
      </c>
      <c r="AG8" s="67">
        <f>A_HostPct*'Revenue Model'!AG36</f>
        <v/>
      </c>
      <c r="AH8" s="67">
        <f>A_HostPct*'Revenue Model'!AH36</f>
        <v/>
      </c>
      <c r="AI8" s="67">
        <f>A_HostPct*'Revenue Model'!AI36</f>
        <v/>
      </c>
      <c r="AJ8" s="67">
        <f>A_HostPct*'Revenue Model'!AJ36</f>
        <v/>
      </c>
      <c r="AK8" s="67">
        <f>A_HostPct*'Revenue Model'!AK36</f>
        <v/>
      </c>
      <c r="AL8" s="67">
        <f>A_HostPct*'Revenue Model'!AL36</f>
        <v/>
      </c>
    </row>
    <row r="9">
      <c r="A9" s="33" t="inlineStr">
        <is>
          <t>Support payroll (CS share)</t>
        </is>
      </c>
      <c r="B9" s="34" t="inlineStr">
        <is>
          <t>$</t>
        </is>
      </c>
      <c r="C9" s="67">
        <f>A_CSCogs*Headcount!C32</f>
        <v/>
      </c>
      <c r="D9" s="67">
        <f>A_CSCogs*Headcount!D32</f>
        <v/>
      </c>
      <c r="E9" s="67">
        <f>A_CSCogs*Headcount!E32</f>
        <v/>
      </c>
      <c r="F9" s="67">
        <f>A_CSCogs*Headcount!F32</f>
        <v/>
      </c>
      <c r="G9" s="67">
        <f>A_CSCogs*Headcount!G32</f>
        <v/>
      </c>
      <c r="H9" s="67">
        <f>A_CSCogs*Headcount!H32</f>
        <v/>
      </c>
      <c r="I9" s="67">
        <f>A_CSCogs*Headcount!I32</f>
        <v/>
      </c>
      <c r="J9" s="67">
        <f>A_CSCogs*Headcount!J32</f>
        <v/>
      </c>
      <c r="K9" s="67">
        <f>A_CSCogs*Headcount!K32</f>
        <v/>
      </c>
      <c r="L9" s="67">
        <f>A_CSCogs*Headcount!L32</f>
        <v/>
      </c>
      <c r="M9" s="67">
        <f>A_CSCogs*Headcount!M32</f>
        <v/>
      </c>
      <c r="N9" s="67">
        <f>A_CSCogs*Headcount!N32</f>
        <v/>
      </c>
      <c r="O9" s="67">
        <f>A_CSCogs*Headcount!O32</f>
        <v/>
      </c>
      <c r="P9" s="67">
        <f>A_CSCogs*Headcount!P32</f>
        <v/>
      </c>
      <c r="Q9" s="67">
        <f>A_CSCogs*Headcount!Q32</f>
        <v/>
      </c>
      <c r="R9" s="67">
        <f>A_CSCogs*Headcount!R32</f>
        <v/>
      </c>
      <c r="S9" s="67">
        <f>A_CSCogs*Headcount!S32</f>
        <v/>
      </c>
      <c r="T9" s="67">
        <f>A_CSCogs*Headcount!T32</f>
        <v/>
      </c>
      <c r="U9" s="67">
        <f>A_CSCogs*Headcount!U32</f>
        <v/>
      </c>
      <c r="V9" s="67">
        <f>A_CSCogs*Headcount!V32</f>
        <v/>
      </c>
      <c r="W9" s="67">
        <f>A_CSCogs*Headcount!W32</f>
        <v/>
      </c>
      <c r="X9" s="67">
        <f>A_CSCogs*Headcount!X32</f>
        <v/>
      </c>
      <c r="Y9" s="67">
        <f>A_CSCogs*Headcount!Y32</f>
        <v/>
      </c>
      <c r="Z9" s="67">
        <f>A_CSCogs*Headcount!Z32</f>
        <v/>
      </c>
      <c r="AA9" s="67">
        <f>A_CSCogs*Headcount!AA32</f>
        <v/>
      </c>
      <c r="AB9" s="67">
        <f>A_CSCogs*Headcount!AB32</f>
        <v/>
      </c>
      <c r="AC9" s="67">
        <f>A_CSCogs*Headcount!AC32</f>
        <v/>
      </c>
      <c r="AD9" s="67">
        <f>A_CSCogs*Headcount!AD32</f>
        <v/>
      </c>
      <c r="AE9" s="67">
        <f>A_CSCogs*Headcount!AE32</f>
        <v/>
      </c>
      <c r="AF9" s="67">
        <f>A_CSCogs*Headcount!AF32</f>
        <v/>
      </c>
      <c r="AG9" s="67">
        <f>A_CSCogs*Headcount!AG32</f>
        <v/>
      </c>
      <c r="AH9" s="67">
        <f>A_CSCogs*Headcount!AH32</f>
        <v/>
      </c>
      <c r="AI9" s="67">
        <f>A_CSCogs*Headcount!AI32</f>
        <v/>
      </c>
      <c r="AJ9" s="67">
        <f>A_CSCogs*Headcount!AJ32</f>
        <v/>
      </c>
      <c r="AK9" s="67">
        <f>A_CSCogs*Headcount!AK32</f>
        <v/>
      </c>
      <c r="AL9" s="67">
        <f>A_CSCogs*Headcount!AL32</f>
        <v/>
      </c>
    </row>
    <row r="10">
      <c r="A10" s="59" t="inlineStr">
        <is>
          <t>Total COGS</t>
        </is>
      </c>
      <c r="B10" s="60" t="inlineStr">
        <is>
          <t>$</t>
        </is>
      </c>
      <c r="C10" s="61">
        <f>C8+C9</f>
        <v/>
      </c>
      <c r="D10" s="61">
        <f>D8+D9</f>
        <v/>
      </c>
      <c r="E10" s="61">
        <f>E8+E9</f>
        <v/>
      </c>
      <c r="F10" s="61">
        <f>F8+F9</f>
        <v/>
      </c>
      <c r="G10" s="61">
        <f>G8+G9</f>
        <v/>
      </c>
      <c r="H10" s="61">
        <f>H8+H9</f>
        <v/>
      </c>
      <c r="I10" s="61">
        <f>I8+I9</f>
        <v/>
      </c>
      <c r="J10" s="61">
        <f>J8+J9</f>
        <v/>
      </c>
      <c r="K10" s="61">
        <f>K8+K9</f>
        <v/>
      </c>
      <c r="L10" s="61">
        <f>L8+L9</f>
        <v/>
      </c>
      <c r="M10" s="61">
        <f>M8+M9</f>
        <v/>
      </c>
      <c r="N10" s="61">
        <f>N8+N9</f>
        <v/>
      </c>
      <c r="O10" s="61">
        <f>O8+O9</f>
        <v/>
      </c>
      <c r="P10" s="61">
        <f>P8+P9</f>
        <v/>
      </c>
      <c r="Q10" s="61">
        <f>Q8+Q9</f>
        <v/>
      </c>
      <c r="R10" s="61">
        <f>R8+R9</f>
        <v/>
      </c>
      <c r="S10" s="61">
        <f>S8+S9</f>
        <v/>
      </c>
      <c r="T10" s="61">
        <f>T8+T9</f>
        <v/>
      </c>
      <c r="U10" s="61">
        <f>U8+U9</f>
        <v/>
      </c>
      <c r="V10" s="61">
        <f>V8+V9</f>
        <v/>
      </c>
      <c r="W10" s="61">
        <f>W8+W9</f>
        <v/>
      </c>
      <c r="X10" s="61">
        <f>X8+X9</f>
        <v/>
      </c>
      <c r="Y10" s="61">
        <f>Y8+Y9</f>
        <v/>
      </c>
      <c r="Z10" s="61">
        <f>Z8+Z9</f>
        <v/>
      </c>
      <c r="AA10" s="61">
        <f>AA8+AA9</f>
        <v/>
      </c>
      <c r="AB10" s="61">
        <f>AB8+AB9</f>
        <v/>
      </c>
      <c r="AC10" s="61">
        <f>AC8+AC9</f>
        <v/>
      </c>
      <c r="AD10" s="61">
        <f>AD8+AD9</f>
        <v/>
      </c>
      <c r="AE10" s="61">
        <f>AE8+AE9</f>
        <v/>
      </c>
      <c r="AF10" s="61">
        <f>AF8+AF9</f>
        <v/>
      </c>
      <c r="AG10" s="61">
        <f>AG8+AG9</f>
        <v/>
      </c>
      <c r="AH10" s="61">
        <f>AH8+AH9</f>
        <v/>
      </c>
      <c r="AI10" s="61">
        <f>AI8+AI9</f>
        <v/>
      </c>
      <c r="AJ10" s="61">
        <f>AJ8+AJ9</f>
        <v/>
      </c>
      <c r="AK10" s="61">
        <f>AK8+AK9</f>
        <v/>
      </c>
      <c r="AL10" s="61">
        <f>AL8+AL9</f>
        <v/>
      </c>
    </row>
    <row r="12">
      <c r="A12" s="31" t="inlineStr">
        <is>
          <t>SALES AND MARKETING</t>
        </is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2" t="n"/>
    </row>
    <row r="13">
      <c r="A13" s="33" t="inlineStr">
        <is>
          <t>Payroll (Sales, Marketing, CS share)</t>
        </is>
      </c>
      <c r="B13" s="34" t="inlineStr">
        <is>
          <t>$</t>
        </is>
      </c>
      <c r="C13" s="67">
        <f>Headcount!C30+Headcount!C31+(1-A_CSCogs)*Headcount!C32</f>
        <v/>
      </c>
      <c r="D13" s="67">
        <f>Headcount!D30+Headcount!D31+(1-A_CSCogs)*Headcount!D32</f>
        <v/>
      </c>
      <c r="E13" s="67">
        <f>Headcount!E30+Headcount!E31+(1-A_CSCogs)*Headcount!E32</f>
        <v/>
      </c>
      <c r="F13" s="67">
        <f>Headcount!F30+Headcount!F31+(1-A_CSCogs)*Headcount!F32</f>
        <v/>
      </c>
      <c r="G13" s="67">
        <f>Headcount!G30+Headcount!G31+(1-A_CSCogs)*Headcount!G32</f>
        <v/>
      </c>
      <c r="H13" s="67">
        <f>Headcount!H30+Headcount!H31+(1-A_CSCogs)*Headcount!H32</f>
        <v/>
      </c>
      <c r="I13" s="67">
        <f>Headcount!I30+Headcount!I31+(1-A_CSCogs)*Headcount!I32</f>
        <v/>
      </c>
      <c r="J13" s="67">
        <f>Headcount!J30+Headcount!J31+(1-A_CSCogs)*Headcount!J32</f>
        <v/>
      </c>
      <c r="K13" s="67">
        <f>Headcount!K30+Headcount!K31+(1-A_CSCogs)*Headcount!K32</f>
        <v/>
      </c>
      <c r="L13" s="67">
        <f>Headcount!L30+Headcount!L31+(1-A_CSCogs)*Headcount!L32</f>
        <v/>
      </c>
      <c r="M13" s="67">
        <f>Headcount!M30+Headcount!M31+(1-A_CSCogs)*Headcount!M32</f>
        <v/>
      </c>
      <c r="N13" s="67">
        <f>Headcount!N30+Headcount!N31+(1-A_CSCogs)*Headcount!N32</f>
        <v/>
      </c>
      <c r="O13" s="67">
        <f>Headcount!O30+Headcount!O31+(1-A_CSCogs)*Headcount!O32</f>
        <v/>
      </c>
      <c r="P13" s="67">
        <f>Headcount!P30+Headcount!P31+(1-A_CSCogs)*Headcount!P32</f>
        <v/>
      </c>
      <c r="Q13" s="67">
        <f>Headcount!Q30+Headcount!Q31+(1-A_CSCogs)*Headcount!Q32</f>
        <v/>
      </c>
      <c r="R13" s="67">
        <f>Headcount!R30+Headcount!R31+(1-A_CSCogs)*Headcount!R32</f>
        <v/>
      </c>
      <c r="S13" s="67">
        <f>Headcount!S30+Headcount!S31+(1-A_CSCogs)*Headcount!S32</f>
        <v/>
      </c>
      <c r="T13" s="67">
        <f>Headcount!T30+Headcount!T31+(1-A_CSCogs)*Headcount!T32</f>
        <v/>
      </c>
      <c r="U13" s="67">
        <f>Headcount!U30+Headcount!U31+(1-A_CSCogs)*Headcount!U32</f>
        <v/>
      </c>
      <c r="V13" s="67">
        <f>Headcount!V30+Headcount!V31+(1-A_CSCogs)*Headcount!V32</f>
        <v/>
      </c>
      <c r="W13" s="67">
        <f>Headcount!W30+Headcount!W31+(1-A_CSCogs)*Headcount!W32</f>
        <v/>
      </c>
      <c r="X13" s="67">
        <f>Headcount!X30+Headcount!X31+(1-A_CSCogs)*Headcount!X32</f>
        <v/>
      </c>
      <c r="Y13" s="67">
        <f>Headcount!Y30+Headcount!Y31+(1-A_CSCogs)*Headcount!Y32</f>
        <v/>
      </c>
      <c r="Z13" s="67">
        <f>Headcount!Z30+Headcount!Z31+(1-A_CSCogs)*Headcount!Z32</f>
        <v/>
      </c>
      <c r="AA13" s="67">
        <f>Headcount!AA30+Headcount!AA31+(1-A_CSCogs)*Headcount!AA32</f>
        <v/>
      </c>
      <c r="AB13" s="67">
        <f>Headcount!AB30+Headcount!AB31+(1-A_CSCogs)*Headcount!AB32</f>
        <v/>
      </c>
      <c r="AC13" s="67">
        <f>Headcount!AC30+Headcount!AC31+(1-A_CSCogs)*Headcount!AC32</f>
        <v/>
      </c>
      <c r="AD13" s="67">
        <f>Headcount!AD30+Headcount!AD31+(1-A_CSCogs)*Headcount!AD32</f>
        <v/>
      </c>
      <c r="AE13" s="67">
        <f>Headcount!AE30+Headcount!AE31+(1-A_CSCogs)*Headcount!AE32</f>
        <v/>
      </c>
      <c r="AF13" s="67">
        <f>Headcount!AF30+Headcount!AF31+(1-A_CSCogs)*Headcount!AF32</f>
        <v/>
      </c>
      <c r="AG13" s="67">
        <f>Headcount!AG30+Headcount!AG31+(1-A_CSCogs)*Headcount!AG32</f>
        <v/>
      </c>
      <c r="AH13" s="67">
        <f>Headcount!AH30+Headcount!AH31+(1-A_CSCogs)*Headcount!AH32</f>
        <v/>
      </c>
      <c r="AI13" s="67">
        <f>Headcount!AI30+Headcount!AI31+(1-A_CSCogs)*Headcount!AI32</f>
        <v/>
      </c>
      <c r="AJ13" s="67">
        <f>Headcount!AJ30+Headcount!AJ31+(1-A_CSCogs)*Headcount!AJ32</f>
        <v/>
      </c>
      <c r="AK13" s="67">
        <f>Headcount!AK30+Headcount!AK31+(1-A_CSCogs)*Headcount!AK32</f>
        <v/>
      </c>
      <c r="AL13" s="67">
        <f>Headcount!AL30+Headcount!AL31+(1-A_CSCogs)*Headcount!AL32</f>
        <v/>
      </c>
    </row>
    <row r="14">
      <c r="A14" s="33" t="inlineStr">
        <is>
          <t>Marketing programmes</t>
        </is>
      </c>
      <c r="B14" s="34" t="inlineStr">
        <is>
          <t>$</t>
        </is>
      </c>
      <c r="C14" s="58">
        <f>L_Mktg*(1+A_MktgG)^(YEAR(C$5)-2026)</f>
        <v/>
      </c>
      <c r="D14" s="58">
        <f>L_Mktg*(1+A_MktgG)^(YEAR(D$5)-2026)</f>
        <v/>
      </c>
      <c r="E14" s="58">
        <f>L_Mktg*(1+A_MktgG)^(YEAR(E$5)-2026)</f>
        <v/>
      </c>
      <c r="F14" s="58">
        <f>L_Mktg*(1+A_MktgG)^(YEAR(F$5)-2026)</f>
        <v/>
      </c>
      <c r="G14" s="58">
        <f>L_Mktg*(1+A_MktgG)^(YEAR(G$5)-2026)</f>
        <v/>
      </c>
      <c r="H14" s="58">
        <f>L_Mktg*(1+A_MktgG)^(YEAR(H$5)-2026)</f>
        <v/>
      </c>
      <c r="I14" s="58">
        <f>L_Mktg*(1+A_MktgG)^(YEAR(I$5)-2026)</f>
        <v/>
      </c>
      <c r="J14" s="58">
        <f>L_Mktg*(1+A_MktgG)^(YEAR(J$5)-2026)</f>
        <v/>
      </c>
      <c r="K14" s="58">
        <f>L_Mktg*(1+A_MktgG)^(YEAR(K$5)-2026)</f>
        <v/>
      </c>
      <c r="L14" s="58">
        <f>L_Mktg*(1+A_MktgG)^(YEAR(L$5)-2026)</f>
        <v/>
      </c>
      <c r="M14" s="58">
        <f>L_Mktg*(1+A_MktgG)^(YEAR(M$5)-2026)</f>
        <v/>
      </c>
      <c r="N14" s="58">
        <f>L_Mktg*(1+A_MktgG)^(YEAR(N$5)-2026)</f>
        <v/>
      </c>
      <c r="O14" s="58">
        <f>L_Mktg*(1+A_MktgG)^(YEAR(O$5)-2026)</f>
        <v/>
      </c>
      <c r="P14" s="58">
        <f>L_Mktg*(1+A_MktgG)^(YEAR(P$5)-2026)</f>
        <v/>
      </c>
      <c r="Q14" s="58">
        <f>L_Mktg*(1+A_MktgG)^(YEAR(Q$5)-2026)</f>
        <v/>
      </c>
      <c r="R14" s="58">
        <f>L_Mktg*(1+A_MktgG)^(YEAR(R$5)-2026)</f>
        <v/>
      </c>
      <c r="S14" s="58">
        <f>L_Mktg*(1+A_MktgG)^(YEAR(S$5)-2026)</f>
        <v/>
      </c>
      <c r="T14" s="58">
        <f>L_Mktg*(1+A_MktgG)^(YEAR(T$5)-2026)</f>
        <v/>
      </c>
      <c r="U14" s="58">
        <f>L_Mktg*(1+A_MktgG)^(YEAR(U$5)-2026)</f>
        <v/>
      </c>
      <c r="V14" s="58">
        <f>L_Mktg*(1+A_MktgG)^(YEAR(V$5)-2026)</f>
        <v/>
      </c>
      <c r="W14" s="58">
        <f>L_Mktg*(1+A_MktgG)^(YEAR(W$5)-2026)</f>
        <v/>
      </c>
      <c r="X14" s="58">
        <f>L_Mktg*(1+A_MktgG)^(YEAR(X$5)-2026)</f>
        <v/>
      </c>
      <c r="Y14" s="58">
        <f>L_Mktg*(1+A_MktgG)^(YEAR(Y$5)-2026)</f>
        <v/>
      </c>
      <c r="Z14" s="58">
        <f>L_Mktg*(1+A_MktgG)^(YEAR(Z$5)-2026)</f>
        <v/>
      </c>
      <c r="AA14" s="58">
        <f>L_Mktg*(1+A_MktgG)^(YEAR(AA$5)-2026)</f>
        <v/>
      </c>
      <c r="AB14" s="58">
        <f>L_Mktg*(1+A_MktgG)^(YEAR(AB$5)-2026)</f>
        <v/>
      </c>
      <c r="AC14" s="58">
        <f>L_Mktg*(1+A_MktgG)^(YEAR(AC$5)-2026)</f>
        <v/>
      </c>
      <c r="AD14" s="58">
        <f>L_Mktg*(1+A_MktgG)^(YEAR(AD$5)-2026)</f>
        <v/>
      </c>
      <c r="AE14" s="58">
        <f>L_Mktg*(1+A_MktgG)^(YEAR(AE$5)-2026)</f>
        <v/>
      </c>
      <c r="AF14" s="58">
        <f>L_Mktg*(1+A_MktgG)^(YEAR(AF$5)-2026)</f>
        <v/>
      </c>
      <c r="AG14" s="58">
        <f>L_Mktg*(1+A_MktgG)^(YEAR(AG$5)-2026)</f>
        <v/>
      </c>
      <c r="AH14" s="58">
        <f>L_Mktg*(1+A_MktgG)^(YEAR(AH$5)-2026)</f>
        <v/>
      </c>
      <c r="AI14" s="58">
        <f>L_Mktg*(1+A_MktgG)^(YEAR(AI$5)-2026)</f>
        <v/>
      </c>
      <c r="AJ14" s="58">
        <f>L_Mktg*(1+A_MktgG)^(YEAR(AJ$5)-2026)</f>
        <v/>
      </c>
      <c r="AK14" s="58">
        <f>L_Mktg*(1+A_MktgG)^(YEAR(AK$5)-2026)</f>
        <v/>
      </c>
      <c r="AL14" s="58">
        <f>L_Mktg*(1+A_MktgG)^(YEAR(AL$5)-2026)</f>
        <v/>
      </c>
    </row>
    <row r="15">
      <c r="A15" s="33" t="inlineStr">
        <is>
          <t>Travel and entertainment</t>
        </is>
      </c>
      <c r="B15" s="34" t="inlineStr">
        <is>
          <t>$</t>
        </is>
      </c>
      <c r="C15" s="58">
        <f>A_TravelPct*C13</f>
        <v/>
      </c>
      <c r="D15" s="58">
        <f>A_TravelPct*D13</f>
        <v/>
      </c>
      <c r="E15" s="58">
        <f>A_TravelPct*E13</f>
        <v/>
      </c>
      <c r="F15" s="58">
        <f>A_TravelPct*F13</f>
        <v/>
      </c>
      <c r="G15" s="58">
        <f>A_TravelPct*G13</f>
        <v/>
      </c>
      <c r="H15" s="58">
        <f>A_TravelPct*H13</f>
        <v/>
      </c>
      <c r="I15" s="58">
        <f>A_TravelPct*I13</f>
        <v/>
      </c>
      <c r="J15" s="58">
        <f>A_TravelPct*J13</f>
        <v/>
      </c>
      <c r="K15" s="58">
        <f>A_TravelPct*K13</f>
        <v/>
      </c>
      <c r="L15" s="58">
        <f>A_TravelPct*L13</f>
        <v/>
      </c>
      <c r="M15" s="58">
        <f>A_TravelPct*M13</f>
        <v/>
      </c>
      <c r="N15" s="58">
        <f>A_TravelPct*N13</f>
        <v/>
      </c>
      <c r="O15" s="58">
        <f>A_TravelPct*O13</f>
        <v/>
      </c>
      <c r="P15" s="58">
        <f>A_TravelPct*P13</f>
        <v/>
      </c>
      <c r="Q15" s="58">
        <f>A_TravelPct*Q13</f>
        <v/>
      </c>
      <c r="R15" s="58">
        <f>A_TravelPct*R13</f>
        <v/>
      </c>
      <c r="S15" s="58">
        <f>A_TravelPct*S13</f>
        <v/>
      </c>
      <c r="T15" s="58">
        <f>A_TravelPct*T13</f>
        <v/>
      </c>
      <c r="U15" s="58">
        <f>A_TravelPct*U13</f>
        <v/>
      </c>
      <c r="V15" s="58">
        <f>A_TravelPct*V13</f>
        <v/>
      </c>
      <c r="W15" s="58">
        <f>A_TravelPct*W13</f>
        <v/>
      </c>
      <c r="X15" s="58">
        <f>A_TravelPct*X13</f>
        <v/>
      </c>
      <c r="Y15" s="58">
        <f>A_TravelPct*Y13</f>
        <v/>
      </c>
      <c r="Z15" s="58">
        <f>A_TravelPct*Z13</f>
        <v/>
      </c>
      <c r="AA15" s="58">
        <f>A_TravelPct*AA13</f>
        <v/>
      </c>
      <c r="AB15" s="58">
        <f>A_TravelPct*AB13</f>
        <v/>
      </c>
      <c r="AC15" s="58">
        <f>A_TravelPct*AC13</f>
        <v/>
      </c>
      <c r="AD15" s="58">
        <f>A_TravelPct*AD13</f>
        <v/>
      </c>
      <c r="AE15" s="58">
        <f>A_TravelPct*AE13</f>
        <v/>
      </c>
      <c r="AF15" s="58">
        <f>A_TravelPct*AF13</f>
        <v/>
      </c>
      <c r="AG15" s="58">
        <f>A_TravelPct*AG13</f>
        <v/>
      </c>
      <c r="AH15" s="58">
        <f>A_TravelPct*AH13</f>
        <v/>
      </c>
      <c r="AI15" s="58">
        <f>A_TravelPct*AI13</f>
        <v/>
      </c>
      <c r="AJ15" s="58">
        <f>A_TravelPct*AJ13</f>
        <v/>
      </c>
      <c r="AK15" s="58">
        <f>A_TravelPct*AK13</f>
        <v/>
      </c>
      <c r="AL15" s="58">
        <f>A_TravelPct*AL13</f>
        <v/>
      </c>
    </row>
    <row r="16">
      <c r="A16" s="33" t="inlineStr">
        <is>
          <t>Software and tools</t>
        </is>
      </c>
      <c r="B16" s="34" t="inlineStr">
        <is>
          <t>$</t>
        </is>
      </c>
      <c r="C16" s="67">
        <f>A_SoftHead*(Headcount!C18+Headcount!C19+Headcount!C20)</f>
        <v/>
      </c>
      <c r="D16" s="67">
        <f>A_SoftHead*(Headcount!D18+Headcount!D19+Headcount!D20)</f>
        <v/>
      </c>
      <c r="E16" s="67">
        <f>A_SoftHead*(Headcount!E18+Headcount!E19+Headcount!E20)</f>
        <v/>
      </c>
      <c r="F16" s="67">
        <f>A_SoftHead*(Headcount!F18+Headcount!F19+Headcount!F20)</f>
        <v/>
      </c>
      <c r="G16" s="67">
        <f>A_SoftHead*(Headcount!G18+Headcount!G19+Headcount!G20)</f>
        <v/>
      </c>
      <c r="H16" s="67">
        <f>A_SoftHead*(Headcount!H18+Headcount!H19+Headcount!H20)</f>
        <v/>
      </c>
      <c r="I16" s="67">
        <f>A_SoftHead*(Headcount!I18+Headcount!I19+Headcount!I20)</f>
        <v/>
      </c>
      <c r="J16" s="67">
        <f>A_SoftHead*(Headcount!J18+Headcount!J19+Headcount!J20)</f>
        <v/>
      </c>
      <c r="K16" s="67">
        <f>A_SoftHead*(Headcount!K18+Headcount!K19+Headcount!K20)</f>
        <v/>
      </c>
      <c r="L16" s="67">
        <f>A_SoftHead*(Headcount!L18+Headcount!L19+Headcount!L20)</f>
        <v/>
      </c>
      <c r="M16" s="67">
        <f>A_SoftHead*(Headcount!M18+Headcount!M19+Headcount!M20)</f>
        <v/>
      </c>
      <c r="N16" s="67">
        <f>A_SoftHead*(Headcount!N18+Headcount!N19+Headcount!N20)</f>
        <v/>
      </c>
      <c r="O16" s="67">
        <f>A_SoftHead*(Headcount!O18+Headcount!O19+Headcount!O20)</f>
        <v/>
      </c>
      <c r="P16" s="67">
        <f>A_SoftHead*(Headcount!P18+Headcount!P19+Headcount!P20)</f>
        <v/>
      </c>
      <c r="Q16" s="67">
        <f>A_SoftHead*(Headcount!Q18+Headcount!Q19+Headcount!Q20)</f>
        <v/>
      </c>
      <c r="R16" s="67">
        <f>A_SoftHead*(Headcount!R18+Headcount!R19+Headcount!R20)</f>
        <v/>
      </c>
      <c r="S16" s="67">
        <f>A_SoftHead*(Headcount!S18+Headcount!S19+Headcount!S20)</f>
        <v/>
      </c>
      <c r="T16" s="67">
        <f>A_SoftHead*(Headcount!T18+Headcount!T19+Headcount!T20)</f>
        <v/>
      </c>
      <c r="U16" s="67">
        <f>A_SoftHead*(Headcount!U18+Headcount!U19+Headcount!U20)</f>
        <v/>
      </c>
      <c r="V16" s="67">
        <f>A_SoftHead*(Headcount!V18+Headcount!V19+Headcount!V20)</f>
        <v/>
      </c>
      <c r="W16" s="67">
        <f>A_SoftHead*(Headcount!W18+Headcount!W19+Headcount!W20)</f>
        <v/>
      </c>
      <c r="X16" s="67">
        <f>A_SoftHead*(Headcount!X18+Headcount!X19+Headcount!X20)</f>
        <v/>
      </c>
      <c r="Y16" s="67">
        <f>A_SoftHead*(Headcount!Y18+Headcount!Y19+Headcount!Y20)</f>
        <v/>
      </c>
      <c r="Z16" s="67">
        <f>A_SoftHead*(Headcount!Z18+Headcount!Z19+Headcount!Z20)</f>
        <v/>
      </c>
      <c r="AA16" s="67">
        <f>A_SoftHead*(Headcount!AA18+Headcount!AA19+Headcount!AA20)</f>
        <v/>
      </c>
      <c r="AB16" s="67">
        <f>A_SoftHead*(Headcount!AB18+Headcount!AB19+Headcount!AB20)</f>
        <v/>
      </c>
      <c r="AC16" s="67">
        <f>A_SoftHead*(Headcount!AC18+Headcount!AC19+Headcount!AC20)</f>
        <v/>
      </c>
      <c r="AD16" s="67">
        <f>A_SoftHead*(Headcount!AD18+Headcount!AD19+Headcount!AD20)</f>
        <v/>
      </c>
      <c r="AE16" s="67">
        <f>A_SoftHead*(Headcount!AE18+Headcount!AE19+Headcount!AE20)</f>
        <v/>
      </c>
      <c r="AF16" s="67">
        <f>A_SoftHead*(Headcount!AF18+Headcount!AF19+Headcount!AF20)</f>
        <v/>
      </c>
      <c r="AG16" s="67">
        <f>A_SoftHead*(Headcount!AG18+Headcount!AG19+Headcount!AG20)</f>
        <v/>
      </c>
      <c r="AH16" s="67">
        <f>A_SoftHead*(Headcount!AH18+Headcount!AH19+Headcount!AH20)</f>
        <v/>
      </c>
      <c r="AI16" s="67">
        <f>A_SoftHead*(Headcount!AI18+Headcount!AI19+Headcount!AI20)</f>
        <v/>
      </c>
      <c r="AJ16" s="67">
        <f>A_SoftHead*(Headcount!AJ18+Headcount!AJ19+Headcount!AJ20)</f>
        <v/>
      </c>
      <c r="AK16" s="67">
        <f>A_SoftHead*(Headcount!AK18+Headcount!AK19+Headcount!AK20)</f>
        <v/>
      </c>
      <c r="AL16" s="67">
        <f>A_SoftHead*(Headcount!AL18+Headcount!AL19+Headcount!AL20)</f>
        <v/>
      </c>
    </row>
    <row r="17">
      <c r="A17" s="59" t="inlineStr">
        <is>
          <t>Total S&amp;M</t>
        </is>
      </c>
      <c r="B17" s="60" t="inlineStr">
        <is>
          <t>$</t>
        </is>
      </c>
      <c r="C17" s="61">
        <f>SUM(C13:C16)</f>
        <v/>
      </c>
      <c r="D17" s="61">
        <f>SUM(D13:D16)</f>
        <v/>
      </c>
      <c r="E17" s="61">
        <f>SUM(E13:E16)</f>
        <v/>
      </c>
      <c r="F17" s="61">
        <f>SUM(F13:F16)</f>
        <v/>
      </c>
      <c r="G17" s="61">
        <f>SUM(G13:G16)</f>
        <v/>
      </c>
      <c r="H17" s="61">
        <f>SUM(H13:H16)</f>
        <v/>
      </c>
      <c r="I17" s="61">
        <f>SUM(I13:I16)</f>
        <v/>
      </c>
      <c r="J17" s="61">
        <f>SUM(J13:J16)</f>
        <v/>
      </c>
      <c r="K17" s="61">
        <f>SUM(K13:K16)</f>
        <v/>
      </c>
      <c r="L17" s="61">
        <f>SUM(L13:L16)</f>
        <v/>
      </c>
      <c r="M17" s="61">
        <f>SUM(M13:M16)</f>
        <v/>
      </c>
      <c r="N17" s="61">
        <f>SUM(N13:N16)</f>
        <v/>
      </c>
      <c r="O17" s="61">
        <f>SUM(O13:O16)</f>
        <v/>
      </c>
      <c r="P17" s="61">
        <f>SUM(P13:P16)</f>
        <v/>
      </c>
      <c r="Q17" s="61">
        <f>SUM(Q13:Q16)</f>
        <v/>
      </c>
      <c r="R17" s="61">
        <f>SUM(R13:R16)</f>
        <v/>
      </c>
      <c r="S17" s="61">
        <f>SUM(S13:S16)</f>
        <v/>
      </c>
      <c r="T17" s="61">
        <f>SUM(T13:T16)</f>
        <v/>
      </c>
      <c r="U17" s="61">
        <f>SUM(U13:U16)</f>
        <v/>
      </c>
      <c r="V17" s="61">
        <f>SUM(V13:V16)</f>
        <v/>
      </c>
      <c r="W17" s="61">
        <f>SUM(W13:W16)</f>
        <v/>
      </c>
      <c r="X17" s="61">
        <f>SUM(X13:X16)</f>
        <v/>
      </c>
      <c r="Y17" s="61">
        <f>SUM(Y13:Y16)</f>
        <v/>
      </c>
      <c r="Z17" s="61">
        <f>SUM(Z13:Z16)</f>
        <v/>
      </c>
      <c r="AA17" s="61">
        <f>SUM(AA13:AA16)</f>
        <v/>
      </c>
      <c r="AB17" s="61">
        <f>SUM(AB13:AB16)</f>
        <v/>
      </c>
      <c r="AC17" s="61">
        <f>SUM(AC13:AC16)</f>
        <v/>
      </c>
      <c r="AD17" s="61">
        <f>SUM(AD13:AD16)</f>
        <v/>
      </c>
      <c r="AE17" s="61">
        <f>SUM(AE13:AE16)</f>
        <v/>
      </c>
      <c r="AF17" s="61">
        <f>SUM(AF13:AF16)</f>
        <v/>
      </c>
      <c r="AG17" s="61">
        <f>SUM(AG13:AG16)</f>
        <v/>
      </c>
      <c r="AH17" s="61">
        <f>SUM(AH13:AH16)</f>
        <v/>
      </c>
      <c r="AI17" s="61">
        <f>SUM(AI13:AI16)</f>
        <v/>
      </c>
      <c r="AJ17" s="61">
        <f>SUM(AJ13:AJ16)</f>
        <v/>
      </c>
      <c r="AK17" s="61">
        <f>SUM(AK13:AK16)</f>
        <v/>
      </c>
      <c r="AL17" s="61">
        <f>SUM(AL13:AL16)</f>
        <v/>
      </c>
    </row>
    <row r="19">
      <c r="A19" s="31" t="inlineStr">
        <is>
          <t>RESEARCH AND DEVELOPMENT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32" t="n"/>
      <c r="AG19" s="32" t="n"/>
      <c r="AH19" s="32" t="n"/>
      <c r="AI19" s="32" t="n"/>
      <c r="AJ19" s="32" t="n"/>
      <c r="AK19" s="32" t="n"/>
      <c r="AL19" s="32" t="n"/>
      <c r="AM19" s="32" t="n"/>
      <c r="AN19" s="32" t="n"/>
      <c r="AO19" s="32" t="n"/>
      <c r="AP19" s="32" t="n"/>
    </row>
    <row r="20">
      <c r="A20" s="33" t="inlineStr">
        <is>
          <t>Payroll (Engineering, Product)</t>
        </is>
      </c>
      <c r="B20" s="34" t="inlineStr">
        <is>
          <t>$</t>
        </is>
      </c>
      <c r="C20" s="67">
        <f>Headcount!C28+Headcount!C29</f>
        <v/>
      </c>
      <c r="D20" s="67">
        <f>Headcount!D28+Headcount!D29</f>
        <v/>
      </c>
      <c r="E20" s="67">
        <f>Headcount!E28+Headcount!E29</f>
        <v/>
      </c>
      <c r="F20" s="67">
        <f>Headcount!F28+Headcount!F29</f>
        <v/>
      </c>
      <c r="G20" s="67">
        <f>Headcount!G28+Headcount!G29</f>
        <v/>
      </c>
      <c r="H20" s="67">
        <f>Headcount!H28+Headcount!H29</f>
        <v/>
      </c>
      <c r="I20" s="67">
        <f>Headcount!I28+Headcount!I29</f>
        <v/>
      </c>
      <c r="J20" s="67">
        <f>Headcount!J28+Headcount!J29</f>
        <v/>
      </c>
      <c r="K20" s="67">
        <f>Headcount!K28+Headcount!K29</f>
        <v/>
      </c>
      <c r="L20" s="67">
        <f>Headcount!L28+Headcount!L29</f>
        <v/>
      </c>
      <c r="M20" s="67">
        <f>Headcount!M28+Headcount!M29</f>
        <v/>
      </c>
      <c r="N20" s="67">
        <f>Headcount!N28+Headcount!N29</f>
        <v/>
      </c>
      <c r="O20" s="67">
        <f>Headcount!O28+Headcount!O29</f>
        <v/>
      </c>
      <c r="P20" s="67">
        <f>Headcount!P28+Headcount!P29</f>
        <v/>
      </c>
      <c r="Q20" s="67">
        <f>Headcount!Q28+Headcount!Q29</f>
        <v/>
      </c>
      <c r="R20" s="67">
        <f>Headcount!R28+Headcount!R29</f>
        <v/>
      </c>
      <c r="S20" s="67">
        <f>Headcount!S28+Headcount!S29</f>
        <v/>
      </c>
      <c r="T20" s="67">
        <f>Headcount!T28+Headcount!T29</f>
        <v/>
      </c>
      <c r="U20" s="67">
        <f>Headcount!U28+Headcount!U29</f>
        <v/>
      </c>
      <c r="V20" s="67">
        <f>Headcount!V28+Headcount!V29</f>
        <v/>
      </c>
      <c r="W20" s="67">
        <f>Headcount!W28+Headcount!W29</f>
        <v/>
      </c>
      <c r="X20" s="67">
        <f>Headcount!X28+Headcount!X29</f>
        <v/>
      </c>
      <c r="Y20" s="67">
        <f>Headcount!Y28+Headcount!Y29</f>
        <v/>
      </c>
      <c r="Z20" s="67">
        <f>Headcount!Z28+Headcount!Z29</f>
        <v/>
      </c>
      <c r="AA20" s="67">
        <f>Headcount!AA28+Headcount!AA29</f>
        <v/>
      </c>
      <c r="AB20" s="67">
        <f>Headcount!AB28+Headcount!AB29</f>
        <v/>
      </c>
      <c r="AC20" s="67">
        <f>Headcount!AC28+Headcount!AC29</f>
        <v/>
      </c>
      <c r="AD20" s="67">
        <f>Headcount!AD28+Headcount!AD29</f>
        <v/>
      </c>
      <c r="AE20" s="67">
        <f>Headcount!AE28+Headcount!AE29</f>
        <v/>
      </c>
      <c r="AF20" s="67">
        <f>Headcount!AF28+Headcount!AF29</f>
        <v/>
      </c>
      <c r="AG20" s="67">
        <f>Headcount!AG28+Headcount!AG29</f>
        <v/>
      </c>
      <c r="AH20" s="67">
        <f>Headcount!AH28+Headcount!AH29</f>
        <v/>
      </c>
      <c r="AI20" s="67">
        <f>Headcount!AI28+Headcount!AI29</f>
        <v/>
      </c>
      <c r="AJ20" s="67">
        <f>Headcount!AJ28+Headcount!AJ29</f>
        <v/>
      </c>
      <c r="AK20" s="67">
        <f>Headcount!AK28+Headcount!AK29</f>
        <v/>
      </c>
      <c r="AL20" s="67">
        <f>Headcount!AL28+Headcount!AL29</f>
        <v/>
      </c>
    </row>
    <row r="21">
      <c r="A21" s="33" t="inlineStr">
        <is>
          <t>Software and tools</t>
        </is>
      </c>
      <c r="B21" s="34" t="inlineStr">
        <is>
          <t>$</t>
        </is>
      </c>
      <c r="C21" s="67">
        <f>A_SoftHead*(Headcount!C16+Headcount!C17)</f>
        <v/>
      </c>
      <c r="D21" s="67">
        <f>A_SoftHead*(Headcount!D16+Headcount!D17)</f>
        <v/>
      </c>
      <c r="E21" s="67">
        <f>A_SoftHead*(Headcount!E16+Headcount!E17)</f>
        <v/>
      </c>
      <c r="F21" s="67">
        <f>A_SoftHead*(Headcount!F16+Headcount!F17)</f>
        <v/>
      </c>
      <c r="G21" s="67">
        <f>A_SoftHead*(Headcount!G16+Headcount!G17)</f>
        <v/>
      </c>
      <c r="H21" s="67">
        <f>A_SoftHead*(Headcount!H16+Headcount!H17)</f>
        <v/>
      </c>
      <c r="I21" s="67">
        <f>A_SoftHead*(Headcount!I16+Headcount!I17)</f>
        <v/>
      </c>
      <c r="J21" s="67">
        <f>A_SoftHead*(Headcount!J16+Headcount!J17)</f>
        <v/>
      </c>
      <c r="K21" s="67">
        <f>A_SoftHead*(Headcount!K16+Headcount!K17)</f>
        <v/>
      </c>
      <c r="L21" s="67">
        <f>A_SoftHead*(Headcount!L16+Headcount!L17)</f>
        <v/>
      </c>
      <c r="M21" s="67">
        <f>A_SoftHead*(Headcount!M16+Headcount!M17)</f>
        <v/>
      </c>
      <c r="N21" s="67">
        <f>A_SoftHead*(Headcount!N16+Headcount!N17)</f>
        <v/>
      </c>
      <c r="O21" s="67">
        <f>A_SoftHead*(Headcount!O16+Headcount!O17)</f>
        <v/>
      </c>
      <c r="P21" s="67">
        <f>A_SoftHead*(Headcount!P16+Headcount!P17)</f>
        <v/>
      </c>
      <c r="Q21" s="67">
        <f>A_SoftHead*(Headcount!Q16+Headcount!Q17)</f>
        <v/>
      </c>
      <c r="R21" s="67">
        <f>A_SoftHead*(Headcount!R16+Headcount!R17)</f>
        <v/>
      </c>
      <c r="S21" s="67">
        <f>A_SoftHead*(Headcount!S16+Headcount!S17)</f>
        <v/>
      </c>
      <c r="T21" s="67">
        <f>A_SoftHead*(Headcount!T16+Headcount!T17)</f>
        <v/>
      </c>
      <c r="U21" s="67">
        <f>A_SoftHead*(Headcount!U16+Headcount!U17)</f>
        <v/>
      </c>
      <c r="V21" s="67">
        <f>A_SoftHead*(Headcount!V16+Headcount!V17)</f>
        <v/>
      </c>
      <c r="W21" s="67">
        <f>A_SoftHead*(Headcount!W16+Headcount!W17)</f>
        <v/>
      </c>
      <c r="X21" s="67">
        <f>A_SoftHead*(Headcount!X16+Headcount!X17)</f>
        <v/>
      </c>
      <c r="Y21" s="67">
        <f>A_SoftHead*(Headcount!Y16+Headcount!Y17)</f>
        <v/>
      </c>
      <c r="Z21" s="67">
        <f>A_SoftHead*(Headcount!Z16+Headcount!Z17)</f>
        <v/>
      </c>
      <c r="AA21" s="67">
        <f>A_SoftHead*(Headcount!AA16+Headcount!AA17)</f>
        <v/>
      </c>
      <c r="AB21" s="67">
        <f>A_SoftHead*(Headcount!AB16+Headcount!AB17)</f>
        <v/>
      </c>
      <c r="AC21" s="67">
        <f>A_SoftHead*(Headcount!AC16+Headcount!AC17)</f>
        <v/>
      </c>
      <c r="AD21" s="67">
        <f>A_SoftHead*(Headcount!AD16+Headcount!AD17)</f>
        <v/>
      </c>
      <c r="AE21" s="67">
        <f>A_SoftHead*(Headcount!AE16+Headcount!AE17)</f>
        <v/>
      </c>
      <c r="AF21" s="67">
        <f>A_SoftHead*(Headcount!AF16+Headcount!AF17)</f>
        <v/>
      </c>
      <c r="AG21" s="67">
        <f>A_SoftHead*(Headcount!AG16+Headcount!AG17)</f>
        <v/>
      </c>
      <c r="AH21" s="67">
        <f>A_SoftHead*(Headcount!AH16+Headcount!AH17)</f>
        <v/>
      </c>
      <c r="AI21" s="67">
        <f>A_SoftHead*(Headcount!AI16+Headcount!AI17)</f>
        <v/>
      </c>
      <c r="AJ21" s="67">
        <f>A_SoftHead*(Headcount!AJ16+Headcount!AJ17)</f>
        <v/>
      </c>
      <c r="AK21" s="67">
        <f>A_SoftHead*(Headcount!AK16+Headcount!AK17)</f>
        <v/>
      </c>
      <c r="AL21" s="67">
        <f>A_SoftHead*(Headcount!AL16+Headcount!AL17)</f>
        <v/>
      </c>
    </row>
    <row r="22">
      <c r="A22" s="33" t="inlineStr">
        <is>
          <t>Travel (half rate)</t>
        </is>
      </c>
      <c r="B22" s="34" t="inlineStr">
        <is>
          <t>$</t>
        </is>
      </c>
      <c r="C22" s="58">
        <f>A_TravelPct/2*C20</f>
        <v/>
      </c>
      <c r="D22" s="58">
        <f>A_TravelPct/2*D20</f>
        <v/>
      </c>
      <c r="E22" s="58">
        <f>A_TravelPct/2*E20</f>
        <v/>
      </c>
      <c r="F22" s="58">
        <f>A_TravelPct/2*F20</f>
        <v/>
      </c>
      <c r="G22" s="58">
        <f>A_TravelPct/2*G20</f>
        <v/>
      </c>
      <c r="H22" s="58">
        <f>A_TravelPct/2*H20</f>
        <v/>
      </c>
      <c r="I22" s="58">
        <f>A_TravelPct/2*I20</f>
        <v/>
      </c>
      <c r="J22" s="58">
        <f>A_TravelPct/2*J20</f>
        <v/>
      </c>
      <c r="K22" s="58">
        <f>A_TravelPct/2*K20</f>
        <v/>
      </c>
      <c r="L22" s="58">
        <f>A_TravelPct/2*L20</f>
        <v/>
      </c>
      <c r="M22" s="58">
        <f>A_TravelPct/2*M20</f>
        <v/>
      </c>
      <c r="N22" s="58">
        <f>A_TravelPct/2*N20</f>
        <v/>
      </c>
      <c r="O22" s="58">
        <f>A_TravelPct/2*O20</f>
        <v/>
      </c>
      <c r="P22" s="58">
        <f>A_TravelPct/2*P20</f>
        <v/>
      </c>
      <c r="Q22" s="58">
        <f>A_TravelPct/2*Q20</f>
        <v/>
      </c>
      <c r="R22" s="58">
        <f>A_TravelPct/2*R20</f>
        <v/>
      </c>
      <c r="S22" s="58">
        <f>A_TravelPct/2*S20</f>
        <v/>
      </c>
      <c r="T22" s="58">
        <f>A_TravelPct/2*T20</f>
        <v/>
      </c>
      <c r="U22" s="58">
        <f>A_TravelPct/2*U20</f>
        <v/>
      </c>
      <c r="V22" s="58">
        <f>A_TravelPct/2*V20</f>
        <v/>
      </c>
      <c r="W22" s="58">
        <f>A_TravelPct/2*W20</f>
        <v/>
      </c>
      <c r="X22" s="58">
        <f>A_TravelPct/2*X20</f>
        <v/>
      </c>
      <c r="Y22" s="58">
        <f>A_TravelPct/2*Y20</f>
        <v/>
      </c>
      <c r="Z22" s="58">
        <f>A_TravelPct/2*Z20</f>
        <v/>
      </c>
      <c r="AA22" s="58">
        <f>A_TravelPct/2*AA20</f>
        <v/>
      </c>
      <c r="AB22" s="58">
        <f>A_TravelPct/2*AB20</f>
        <v/>
      </c>
      <c r="AC22" s="58">
        <f>A_TravelPct/2*AC20</f>
        <v/>
      </c>
      <c r="AD22" s="58">
        <f>A_TravelPct/2*AD20</f>
        <v/>
      </c>
      <c r="AE22" s="58">
        <f>A_TravelPct/2*AE20</f>
        <v/>
      </c>
      <c r="AF22" s="58">
        <f>A_TravelPct/2*AF20</f>
        <v/>
      </c>
      <c r="AG22" s="58">
        <f>A_TravelPct/2*AG20</f>
        <v/>
      </c>
      <c r="AH22" s="58">
        <f>A_TravelPct/2*AH20</f>
        <v/>
      </c>
      <c r="AI22" s="58">
        <f>A_TravelPct/2*AI20</f>
        <v/>
      </c>
      <c r="AJ22" s="58">
        <f>A_TravelPct/2*AJ20</f>
        <v/>
      </c>
      <c r="AK22" s="58">
        <f>A_TravelPct/2*AK20</f>
        <v/>
      </c>
      <c r="AL22" s="58">
        <f>A_TravelPct/2*AL20</f>
        <v/>
      </c>
    </row>
    <row r="23">
      <c r="A23" s="59" t="inlineStr">
        <is>
          <t>Total R&amp;D</t>
        </is>
      </c>
      <c r="B23" s="60" t="inlineStr">
        <is>
          <t>$</t>
        </is>
      </c>
      <c r="C23" s="61">
        <f>SUM(C20:C22)</f>
        <v/>
      </c>
      <c r="D23" s="61">
        <f>SUM(D20:D22)</f>
        <v/>
      </c>
      <c r="E23" s="61">
        <f>SUM(E20:E22)</f>
        <v/>
      </c>
      <c r="F23" s="61">
        <f>SUM(F20:F22)</f>
        <v/>
      </c>
      <c r="G23" s="61">
        <f>SUM(G20:G22)</f>
        <v/>
      </c>
      <c r="H23" s="61">
        <f>SUM(H20:H22)</f>
        <v/>
      </c>
      <c r="I23" s="61">
        <f>SUM(I20:I22)</f>
        <v/>
      </c>
      <c r="J23" s="61">
        <f>SUM(J20:J22)</f>
        <v/>
      </c>
      <c r="K23" s="61">
        <f>SUM(K20:K22)</f>
        <v/>
      </c>
      <c r="L23" s="61">
        <f>SUM(L20:L22)</f>
        <v/>
      </c>
      <c r="M23" s="61">
        <f>SUM(M20:M22)</f>
        <v/>
      </c>
      <c r="N23" s="61">
        <f>SUM(N20:N22)</f>
        <v/>
      </c>
      <c r="O23" s="61">
        <f>SUM(O20:O22)</f>
        <v/>
      </c>
      <c r="P23" s="61">
        <f>SUM(P20:P22)</f>
        <v/>
      </c>
      <c r="Q23" s="61">
        <f>SUM(Q20:Q22)</f>
        <v/>
      </c>
      <c r="R23" s="61">
        <f>SUM(R20:R22)</f>
        <v/>
      </c>
      <c r="S23" s="61">
        <f>SUM(S20:S22)</f>
        <v/>
      </c>
      <c r="T23" s="61">
        <f>SUM(T20:T22)</f>
        <v/>
      </c>
      <c r="U23" s="61">
        <f>SUM(U20:U22)</f>
        <v/>
      </c>
      <c r="V23" s="61">
        <f>SUM(V20:V22)</f>
        <v/>
      </c>
      <c r="W23" s="61">
        <f>SUM(W20:W22)</f>
        <v/>
      </c>
      <c r="X23" s="61">
        <f>SUM(X20:X22)</f>
        <v/>
      </c>
      <c r="Y23" s="61">
        <f>SUM(Y20:Y22)</f>
        <v/>
      </c>
      <c r="Z23" s="61">
        <f>SUM(Z20:Z22)</f>
        <v/>
      </c>
      <c r="AA23" s="61">
        <f>SUM(AA20:AA22)</f>
        <v/>
      </c>
      <c r="AB23" s="61">
        <f>SUM(AB20:AB22)</f>
        <v/>
      </c>
      <c r="AC23" s="61">
        <f>SUM(AC20:AC22)</f>
        <v/>
      </c>
      <c r="AD23" s="61">
        <f>SUM(AD20:AD22)</f>
        <v/>
      </c>
      <c r="AE23" s="61">
        <f>SUM(AE20:AE22)</f>
        <v/>
      </c>
      <c r="AF23" s="61">
        <f>SUM(AF20:AF22)</f>
        <v/>
      </c>
      <c r="AG23" s="61">
        <f>SUM(AG20:AG22)</f>
        <v/>
      </c>
      <c r="AH23" s="61">
        <f>SUM(AH20:AH22)</f>
        <v/>
      </c>
      <c r="AI23" s="61">
        <f>SUM(AI20:AI22)</f>
        <v/>
      </c>
      <c r="AJ23" s="61">
        <f>SUM(AJ20:AJ22)</f>
        <v/>
      </c>
      <c r="AK23" s="61">
        <f>SUM(AK20:AK22)</f>
        <v/>
      </c>
      <c r="AL23" s="61">
        <f>SUM(AL20:AL22)</f>
        <v/>
      </c>
    </row>
    <row r="25">
      <c r="A25" s="31" t="inlineStr">
        <is>
          <t>GENERAL AND ADMINISTRATIVE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Z25" s="32" t="n"/>
      <c r="AA25" s="32" t="n"/>
      <c r="AB25" s="32" t="n"/>
      <c r="AC25" s="32" t="n"/>
      <c r="AD25" s="32" t="n"/>
      <c r="AE25" s="32" t="n"/>
      <c r="AF25" s="32" t="n"/>
      <c r="AG25" s="32" t="n"/>
      <c r="AH25" s="32" t="n"/>
      <c r="AI25" s="32" t="n"/>
      <c r="AJ25" s="32" t="n"/>
      <c r="AK25" s="32" t="n"/>
      <c r="AL25" s="32" t="n"/>
      <c r="AM25" s="32" t="n"/>
      <c r="AN25" s="32" t="n"/>
      <c r="AO25" s="32" t="n"/>
      <c r="AP25" s="32" t="n"/>
    </row>
    <row r="26">
      <c r="A26" s="33" t="inlineStr">
        <is>
          <t>Payroll (G&amp;A)</t>
        </is>
      </c>
      <c r="B26" s="34" t="inlineStr">
        <is>
          <t>$</t>
        </is>
      </c>
      <c r="C26" s="67">
        <f>Headcount!C33</f>
        <v/>
      </c>
      <c r="D26" s="67">
        <f>Headcount!D33</f>
        <v/>
      </c>
      <c r="E26" s="67">
        <f>Headcount!E33</f>
        <v/>
      </c>
      <c r="F26" s="67">
        <f>Headcount!F33</f>
        <v/>
      </c>
      <c r="G26" s="67">
        <f>Headcount!G33</f>
        <v/>
      </c>
      <c r="H26" s="67">
        <f>Headcount!H33</f>
        <v/>
      </c>
      <c r="I26" s="67">
        <f>Headcount!I33</f>
        <v/>
      </c>
      <c r="J26" s="67">
        <f>Headcount!J33</f>
        <v/>
      </c>
      <c r="K26" s="67">
        <f>Headcount!K33</f>
        <v/>
      </c>
      <c r="L26" s="67">
        <f>Headcount!L33</f>
        <v/>
      </c>
      <c r="M26" s="67">
        <f>Headcount!M33</f>
        <v/>
      </c>
      <c r="N26" s="67">
        <f>Headcount!N33</f>
        <v/>
      </c>
      <c r="O26" s="67">
        <f>Headcount!O33</f>
        <v/>
      </c>
      <c r="P26" s="67">
        <f>Headcount!P33</f>
        <v/>
      </c>
      <c r="Q26" s="67">
        <f>Headcount!Q33</f>
        <v/>
      </c>
      <c r="R26" s="67">
        <f>Headcount!R33</f>
        <v/>
      </c>
      <c r="S26" s="67">
        <f>Headcount!S33</f>
        <v/>
      </c>
      <c r="T26" s="67">
        <f>Headcount!T33</f>
        <v/>
      </c>
      <c r="U26" s="67">
        <f>Headcount!U33</f>
        <v/>
      </c>
      <c r="V26" s="67">
        <f>Headcount!V33</f>
        <v/>
      </c>
      <c r="W26" s="67">
        <f>Headcount!W33</f>
        <v/>
      </c>
      <c r="X26" s="67">
        <f>Headcount!X33</f>
        <v/>
      </c>
      <c r="Y26" s="67">
        <f>Headcount!Y33</f>
        <v/>
      </c>
      <c r="Z26" s="67">
        <f>Headcount!Z33</f>
        <v/>
      </c>
      <c r="AA26" s="67">
        <f>Headcount!AA33</f>
        <v/>
      </c>
      <c r="AB26" s="67">
        <f>Headcount!AB33</f>
        <v/>
      </c>
      <c r="AC26" s="67">
        <f>Headcount!AC33</f>
        <v/>
      </c>
      <c r="AD26" s="67">
        <f>Headcount!AD33</f>
        <v/>
      </c>
      <c r="AE26" s="67">
        <f>Headcount!AE33</f>
        <v/>
      </c>
      <c r="AF26" s="67">
        <f>Headcount!AF33</f>
        <v/>
      </c>
      <c r="AG26" s="67">
        <f>Headcount!AG33</f>
        <v/>
      </c>
      <c r="AH26" s="67">
        <f>Headcount!AH33</f>
        <v/>
      </c>
      <c r="AI26" s="67">
        <f>Headcount!AI33</f>
        <v/>
      </c>
      <c r="AJ26" s="67">
        <f>Headcount!AJ33</f>
        <v/>
      </c>
      <c r="AK26" s="67">
        <f>Headcount!AK33</f>
        <v/>
      </c>
      <c r="AL26" s="67">
        <f>Headcount!AL33</f>
        <v/>
      </c>
    </row>
    <row r="27">
      <c r="A27" s="33" t="inlineStr">
        <is>
          <t>Rent and facilities (all heads)</t>
        </is>
      </c>
      <c r="B27" s="34" t="inlineStr">
        <is>
          <t>$</t>
        </is>
      </c>
      <c r="C27" s="67">
        <f>A_RentHead*Headcount!C22</f>
        <v/>
      </c>
      <c r="D27" s="67">
        <f>A_RentHead*Headcount!D22</f>
        <v/>
      </c>
      <c r="E27" s="67">
        <f>A_RentHead*Headcount!E22</f>
        <v/>
      </c>
      <c r="F27" s="67">
        <f>A_RentHead*Headcount!F22</f>
        <v/>
      </c>
      <c r="G27" s="67">
        <f>A_RentHead*Headcount!G22</f>
        <v/>
      </c>
      <c r="H27" s="67">
        <f>A_RentHead*Headcount!H22</f>
        <v/>
      </c>
      <c r="I27" s="67">
        <f>A_RentHead*Headcount!I22</f>
        <v/>
      </c>
      <c r="J27" s="67">
        <f>A_RentHead*Headcount!J22</f>
        <v/>
      </c>
      <c r="K27" s="67">
        <f>A_RentHead*Headcount!K22</f>
        <v/>
      </c>
      <c r="L27" s="67">
        <f>A_RentHead*Headcount!L22</f>
        <v/>
      </c>
      <c r="M27" s="67">
        <f>A_RentHead*Headcount!M22</f>
        <v/>
      </c>
      <c r="N27" s="67">
        <f>A_RentHead*Headcount!N22</f>
        <v/>
      </c>
      <c r="O27" s="67">
        <f>A_RentHead*Headcount!O22</f>
        <v/>
      </c>
      <c r="P27" s="67">
        <f>A_RentHead*Headcount!P22</f>
        <v/>
      </c>
      <c r="Q27" s="67">
        <f>A_RentHead*Headcount!Q22</f>
        <v/>
      </c>
      <c r="R27" s="67">
        <f>A_RentHead*Headcount!R22</f>
        <v/>
      </c>
      <c r="S27" s="67">
        <f>A_RentHead*Headcount!S22</f>
        <v/>
      </c>
      <c r="T27" s="67">
        <f>A_RentHead*Headcount!T22</f>
        <v/>
      </c>
      <c r="U27" s="67">
        <f>A_RentHead*Headcount!U22</f>
        <v/>
      </c>
      <c r="V27" s="67">
        <f>A_RentHead*Headcount!V22</f>
        <v/>
      </c>
      <c r="W27" s="67">
        <f>A_RentHead*Headcount!W22</f>
        <v/>
      </c>
      <c r="X27" s="67">
        <f>A_RentHead*Headcount!X22</f>
        <v/>
      </c>
      <c r="Y27" s="67">
        <f>A_RentHead*Headcount!Y22</f>
        <v/>
      </c>
      <c r="Z27" s="67">
        <f>A_RentHead*Headcount!Z22</f>
        <v/>
      </c>
      <c r="AA27" s="67">
        <f>A_RentHead*Headcount!AA22</f>
        <v/>
      </c>
      <c r="AB27" s="67">
        <f>A_RentHead*Headcount!AB22</f>
        <v/>
      </c>
      <c r="AC27" s="67">
        <f>A_RentHead*Headcount!AC22</f>
        <v/>
      </c>
      <c r="AD27" s="67">
        <f>A_RentHead*Headcount!AD22</f>
        <v/>
      </c>
      <c r="AE27" s="67">
        <f>A_RentHead*Headcount!AE22</f>
        <v/>
      </c>
      <c r="AF27" s="67">
        <f>A_RentHead*Headcount!AF22</f>
        <v/>
      </c>
      <c r="AG27" s="67">
        <f>A_RentHead*Headcount!AG22</f>
        <v/>
      </c>
      <c r="AH27" s="67">
        <f>A_RentHead*Headcount!AH22</f>
        <v/>
      </c>
      <c r="AI27" s="67">
        <f>A_RentHead*Headcount!AI22</f>
        <v/>
      </c>
      <c r="AJ27" s="67">
        <f>A_RentHead*Headcount!AJ22</f>
        <v/>
      </c>
      <c r="AK27" s="67">
        <f>A_RentHead*Headcount!AK22</f>
        <v/>
      </c>
      <c r="AL27" s="67">
        <f>A_RentHead*Headcount!AL22</f>
        <v/>
      </c>
    </row>
    <row r="28">
      <c r="A28" s="33" t="inlineStr">
        <is>
          <t>Professional fees</t>
        </is>
      </c>
      <c r="B28" s="34" t="inlineStr">
        <is>
          <t>$</t>
        </is>
      </c>
      <c r="C28" s="58">
        <f>A_ProfFees*(1+A_ProfG)^(YEAR(C$5)-2026)</f>
        <v/>
      </c>
      <c r="D28" s="58">
        <f>A_ProfFees*(1+A_ProfG)^(YEAR(D$5)-2026)</f>
        <v/>
      </c>
      <c r="E28" s="58">
        <f>A_ProfFees*(1+A_ProfG)^(YEAR(E$5)-2026)</f>
        <v/>
      </c>
      <c r="F28" s="58">
        <f>A_ProfFees*(1+A_ProfG)^(YEAR(F$5)-2026)</f>
        <v/>
      </c>
      <c r="G28" s="58">
        <f>A_ProfFees*(1+A_ProfG)^(YEAR(G$5)-2026)</f>
        <v/>
      </c>
      <c r="H28" s="58">
        <f>A_ProfFees*(1+A_ProfG)^(YEAR(H$5)-2026)</f>
        <v/>
      </c>
      <c r="I28" s="58">
        <f>A_ProfFees*(1+A_ProfG)^(YEAR(I$5)-2026)</f>
        <v/>
      </c>
      <c r="J28" s="58">
        <f>A_ProfFees*(1+A_ProfG)^(YEAR(J$5)-2026)</f>
        <v/>
      </c>
      <c r="K28" s="58">
        <f>A_ProfFees*(1+A_ProfG)^(YEAR(K$5)-2026)</f>
        <v/>
      </c>
      <c r="L28" s="58">
        <f>A_ProfFees*(1+A_ProfG)^(YEAR(L$5)-2026)</f>
        <v/>
      </c>
      <c r="M28" s="58">
        <f>A_ProfFees*(1+A_ProfG)^(YEAR(M$5)-2026)</f>
        <v/>
      </c>
      <c r="N28" s="58">
        <f>A_ProfFees*(1+A_ProfG)^(YEAR(N$5)-2026)</f>
        <v/>
      </c>
      <c r="O28" s="58">
        <f>A_ProfFees*(1+A_ProfG)^(YEAR(O$5)-2026)</f>
        <v/>
      </c>
      <c r="P28" s="58">
        <f>A_ProfFees*(1+A_ProfG)^(YEAR(P$5)-2026)</f>
        <v/>
      </c>
      <c r="Q28" s="58">
        <f>A_ProfFees*(1+A_ProfG)^(YEAR(Q$5)-2026)</f>
        <v/>
      </c>
      <c r="R28" s="58">
        <f>A_ProfFees*(1+A_ProfG)^(YEAR(R$5)-2026)</f>
        <v/>
      </c>
      <c r="S28" s="58">
        <f>A_ProfFees*(1+A_ProfG)^(YEAR(S$5)-2026)</f>
        <v/>
      </c>
      <c r="T28" s="58">
        <f>A_ProfFees*(1+A_ProfG)^(YEAR(T$5)-2026)</f>
        <v/>
      </c>
      <c r="U28" s="58">
        <f>A_ProfFees*(1+A_ProfG)^(YEAR(U$5)-2026)</f>
        <v/>
      </c>
      <c r="V28" s="58">
        <f>A_ProfFees*(1+A_ProfG)^(YEAR(V$5)-2026)</f>
        <v/>
      </c>
      <c r="W28" s="58">
        <f>A_ProfFees*(1+A_ProfG)^(YEAR(W$5)-2026)</f>
        <v/>
      </c>
      <c r="X28" s="58">
        <f>A_ProfFees*(1+A_ProfG)^(YEAR(X$5)-2026)</f>
        <v/>
      </c>
      <c r="Y28" s="58">
        <f>A_ProfFees*(1+A_ProfG)^(YEAR(Y$5)-2026)</f>
        <v/>
      </c>
      <c r="Z28" s="58">
        <f>A_ProfFees*(1+A_ProfG)^(YEAR(Z$5)-2026)</f>
        <v/>
      </c>
      <c r="AA28" s="58">
        <f>A_ProfFees*(1+A_ProfG)^(YEAR(AA$5)-2026)</f>
        <v/>
      </c>
      <c r="AB28" s="58">
        <f>A_ProfFees*(1+A_ProfG)^(YEAR(AB$5)-2026)</f>
        <v/>
      </c>
      <c r="AC28" s="58">
        <f>A_ProfFees*(1+A_ProfG)^(YEAR(AC$5)-2026)</f>
        <v/>
      </c>
      <c r="AD28" s="58">
        <f>A_ProfFees*(1+A_ProfG)^(YEAR(AD$5)-2026)</f>
        <v/>
      </c>
      <c r="AE28" s="58">
        <f>A_ProfFees*(1+A_ProfG)^(YEAR(AE$5)-2026)</f>
        <v/>
      </c>
      <c r="AF28" s="58">
        <f>A_ProfFees*(1+A_ProfG)^(YEAR(AF$5)-2026)</f>
        <v/>
      </c>
      <c r="AG28" s="58">
        <f>A_ProfFees*(1+A_ProfG)^(YEAR(AG$5)-2026)</f>
        <v/>
      </c>
      <c r="AH28" s="58">
        <f>A_ProfFees*(1+A_ProfG)^(YEAR(AH$5)-2026)</f>
        <v/>
      </c>
      <c r="AI28" s="58">
        <f>A_ProfFees*(1+A_ProfG)^(YEAR(AI$5)-2026)</f>
        <v/>
      </c>
      <c r="AJ28" s="58">
        <f>A_ProfFees*(1+A_ProfG)^(YEAR(AJ$5)-2026)</f>
        <v/>
      </c>
      <c r="AK28" s="58">
        <f>A_ProfFees*(1+A_ProfG)^(YEAR(AK$5)-2026)</f>
        <v/>
      </c>
      <c r="AL28" s="58">
        <f>A_ProfFees*(1+A_ProfG)^(YEAR(AL$5)-2026)</f>
        <v/>
      </c>
    </row>
    <row r="29">
      <c r="A29" s="33" t="inlineStr">
        <is>
          <t>Software and tools</t>
        </is>
      </c>
      <c r="B29" s="34" t="inlineStr">
        <is>
          <t>$</t>
        </is>
      </c>
      <c r="C29" s="67">
        <f>A_SoftHead*Headcount!C21</f>
        <v/>
      </c>
      <c r="D29" s="67">
        <f>A_SoftHead*Headcount!D21</f>
        <v/>
      </c>
      <c r="E29" s="67">
        <f>A_SoftHead*Headcount!E21</f>
        <v/>
      </c>
      <c r="F29" s="67">
        <f>A_SoftHead*Headcount!F21</f>
        <v/>
      </c>
      <c r="G29" s="67">
        <f>A_SoftHead*Headcount!G21</f>
        <v/>
      </c>
      <c r="H29" s="67">
        <f>A_SoftHead*Headcount!H21</f>
        <v/>
      </c>
      <c r="I29" s="67">
        <f>A_SoftHead*Headcount!I21</f>
        <v/>
      </c>
      <c r="J29" s="67">
        <f>A_SoftHead*Headcount!J21</f>
        <v/>
      </c>
      <c r="K29" s="67">
        <f>A_SoftHead*Headcount!K21</f>
        <v/>
      </c>
      <c r="L29" s="67">
        <f>A_SoftHead*Headcount!L21</f>
        <v/>
      </c>
      <c r="M29" s="67">
        <f>A_SoftHead*Headcount!M21</f>
        <v/>
      </c>
      <c r="N29" s="67">
        <f>A_SoftHead*Headcount!N21</f>
        <v/>
      </c>
      <c r="O29" s="67">
        <f>A_SoftHead*Headcount!O21</f>
        <v/>
      </c>
      <c r="P29" s="67">
        <f>A_SoftHead*Headcount!P21</f>
        <v/>
      </c>
      <c r="Q29" s="67">
        <f>A_SoftHead*Headcount!Q21</f>
        <v/>
      </c>
      <c r="R29" s="67">
        <f>A_SoftHead*Headcount!R21</f>
        <v/>
      </c>
      <c r="S29" s="67">
        <f>A_SoftHead*Headcount!S21</f>
        <v/>
      </c>
      <c r="T29" s="67">
        <f>A_SoftHead*Headcount!T21</f>
        <v/>
      </c>
      <c r="U29" s="67">
        <f>A_SoftHead*Headcount!U21</f>
        <v/>
      </c>
      <c r="V29" s="67">
        <f>A_SoftHead*Headcount!V21</f>
        <v/>
      </c>
      <c r="W29" s="67">
        <f>A_SoftHead*Headcount!W21</f>
        <v/>
      </c>
      <c r="X29" s="67">
        <f>A_SoftHead*Headcount!X21</f>
        <v/>
      </c>
      <c r="Y29" s="67">
        <f>A_SoftHead*Headcount!Y21</f>
        <v/>
      </c>
      <c r="Z29" s="67">
        <f>A_SoftHead*Headcount!Z21</f>
        <v/>
      </c>
      <c r="AA29" s="67">
        <f>A_SoftHead*Headcount!AA21</f>
        <v/>
      </c>
      <c r="AB29" s="67">
        <f>A_SoftHead*Headcount!AB21</f>
        <v/>
      </c>
      <c r="AC29" s="67">
        <f>A_SoftHead*Headcount!AC21</f>
        <v/>
      </c>
      <c r="AD29" s="67">
        <f>A_SoftHead*Headcount!AD21</f>
        <v/>
      </c>
      <c r="AE29" s="67">
        <f>A_SoftHead*Headcount!AE21</f>
        <v/>
      </c>
      <c r="AF29" s="67">
        <f>A_SoftHead*Headcount!AF21</f>
        <v/>
      </c>
      <c r="AG29" s="67">
        <f>A_SoftHead*Headcount!AG21</f>
        <v/>
      </c>
      <c r="AH29" s="67">
        <f>A_SoftHead*Headcount!AH21</f>
        <v/>
      </c>
      <c r="AI29" s="67">
        <f>A_SoftHead*Headcount!AI21</f>
        <v/>
      </c>
      <c r="AJ29" s="67">
        <f>A_SoftHead*Headcount!AJ21</f>
        <v/>
      </c>
      <c r="AK29" s="67">
        <f>A_SoftHead*Headcount!AK21</f>
        <v/>
      </c>
      <c r="AL29" s="67">
        <f>A_SoftHead*Headcount!AL21</f>
        <v/>
      </c>
    </row>
    <row r="30">
      <c r="A30" s="33" t="inlineStr">
        <is>
          <t>Travel (half rate)</t>
        </is>
      </c>
      <c r="B30" s="34" t="inlineStr">
        <is>
          <t>$</t>
        </is>
      </c>
      <c r="C30" s="58">
        <f>A_TravelPct/2*C26</f>
        <v/>
      </c>
      <c r="D30" s="58">
        <f>A_TravelPct/2*D26</f>
        <v/>
      </c>
      <c r="E30" s="58">
        <f>A_TravelPct/2*E26</f>
        <v/>
      </c>
      <c r="F30" s="58">
        <f>A_TravelPct/2*F26</f>
        <v/>
      </c>
      <c r="G30" s="58">
        <f>A_TravelPct/2*G26</f>
        <v/>
      </c>
      <c r="H30" s="58">
        <f>A_TravelPct/2*H26</f>
        <v/>
      </c>
      <c r="I30" s="58">
        <f>A_TravelPct/2*I26</f>
        <v/>
      </c>
      <c r="J30" s="58">
        <f>A_TravelPct/2*J26</f>
        <v/>
      </c>
      <c r="K30" s="58">
        <f>A_TravelPct/2*K26</f>
        <v/>
      </c>
      <c r="L30" s="58">
        <f>A_TravelPct/2*L26</f>
        <v/>
      </c>
      <c r="M30" s="58">
        <f>A_TravelPct/2*M26</f>
        <v/>
      </c>
      <c r="N30" s="58">
        <f>A_TravelPct/2*N26</f>
        <v/>
      </c>
      <c r="O30" s="58">
        <f>A_TravelPct/2*O26</f>
        <v/>
      </c>
      <c r="P30" s="58">
        <f>A_TravelPct/2*P26</f>
        <v/>
      </c>
      <c r="Q30" s="58">
        <f>A_TravelPct/2*Q26</f>
        <v/>
      </c>
      <c r="R30" s="58">
        <f>A_TravelPct/2*R26</f>
        <v/>
      </c>
      <c r="S30" s="58">
        <f>A_TravelPct/2*S26</f>
        <v/>
      </c>
      <c r="T30" s="58">
        <f>A_TravelPct/2*T26</f>
        <v/>
      </c>
      <c r="U30" s="58">
        <f>A_TravelPct/2*U26</f>
        <v/>
      </c>
      <c r="V30" s="58">
        <f>A_TravelPct/2*V26</f>
        <v/>
      </c>
      <c r="W30" s="58">
        <f>A_TravelPct/2*W26</f>
        <v/>
      </c>
      <c r="X30" s="58">
        <f>A_TravelPct/2*X26</f>
        <v/>
      </c>
      <c r="Y30" s="58">
        <f>A_TravelPct/2*Y26</f>
        <v/>
      </c>
      <c r="Z30" s="58">
        <f>A_TravelPct/2*Z26</f>
        <v/>
      </c>
      <c r="AA30" s="58">
        <f>A_TravelPct/2*AA26</f>
        <v/>
      </c>
      <c r="AB30" s="58">
        <f>A_TravelPct/2*AB26</f>
        <v/>
      </c>
      <c r="AC30" s="58">
        <f>A_TravelPct/2*AC26</f>
        <v/>
      </c>
      <c r="AD30" s="58">
        <f>A_TravelPct/2*AD26</f>
        <v/>
      </c>
      <c r="AE30" s="58">
        <f>A_TravelPct/2*AE26</f>
        <v/>
      </c>
      <c r="AF30" s="58">
        <f>A_TravelPct/2*AF26</f>
        <v/>
      </c>
      <c r="AG30" s="58">
        <f>A_TravelPct/2*AG26</f>
        <v/>
      </c>
      <c r="AH30" s="58">
        <f>A_TravelPct/2*AH26</f>
        <v/>
      </c>
      <c r="AI30" s="58">
        <f>A_TravelPct/2*AI26</f>
        <v/>
      </c>
      <c r="AJ30" s="58">
        <f>A_TravelPct/2*AJ26</f>
        <v/>
      </c>
      <c r="AK30" s="58">
        <f>A_TravelPct/2*AK26</f>
        <v/>
      </c>
      <c r="AL30" s="58">
        <f>A_TravelPct/2*AL26</f>
        <v/>
      </c>
    </row>
    <row r="31">
      <c r="A31" s="59" t="inlineStr">
        <is>
          <t>Total G&amp;A</t>
        </is>
      </c>
      <c r="B31" s="60" t="inlineStr">
        <is>
          <t>$</t>
        </is>
      </c>
      <c r="C31" s="61">
        <f>SUM(C26:C30)</f>
        <v/>
      </c>
      <c r="D31" s="61">
        <f>SUM(D26:D30)</f>
        <v/>
      </c>
      <c r="E31" s="61">
        <f>SUM(E26:E30)</f>
        <v/>
      </c>
      <c r="F31" s="61">
        <f>SUM(F26:F30)</f>
        <v/>
      </c>
      <c r="G31" s="61">
        <f>SUM(G26:G30)</f>
        <v/>
      </c>
      <c r="H31" s="61">
        <f>SUM(H26:H30)</f>
        <v/>
      </c>
      <c r="I31" s="61">
        <f>SUM(I26:I30)</f>
        <v/>
      </c>
      <c r="J31" s="61">
        <f>SUM(J26:J30)</f>
        <v/>
      </c>
      <c r="K31" s="61">
        <f>SUM(K26:K30)</f>
        <v/>
      </c>
      <c r="L31" s="61">
        <f>SUM(L26:L30)</f>
        <v/>
      </c>
      <c r="M31" s="61">
        <f>SUM(M26:M30)</f>
        <v/>
      </c>
      <c r="N31" s="61">
        <f>SUM(N26:N30)</f>
        <v/>
      </c>
      <c r="O31" s="61">
        <f>SUM(O26:O30)</f>
        <v/>
      </c>
      <c r="P31" s="61">
        <f>SUM(P26:P30)</f>
        <v/>
      </c>
      <c r="Q31" s="61">
        <f>SUM(Q26:Q30)</f>
        <v/>
      </c>
      <c r="R31" s="61">
        <f>SUM(R26:R30)</f>
        <v/>
      </c>
      <c r="S31" s="61">
        <f>SUM(S26:S30)</f>
        <v/>
      </c>
      <c r="T31" s="61">
        <f>SUM(T26:T30)</f>
        <v/>
      </c>
      <c r="U31" s="61">
        <f>SUM(U26:U30)</f>
        <v/>
      </c>
      <c r="V31" s="61">
        <f>SUM(V26:V30)</f>
        <v/>
      </c>
      <c r="W31" s="61">
        <f>SUM(W26:W30)</f>
        <v/>
      </c>
      <c r="X31" s="61">
        <f>SUM(X26:X30)</f>
        <v/>
      </c>
      <c r="Y31" s="61">
        <f>SUM(Y26:Y30)</f>
        <v/>
      </c>
      <c r="Z31" s="61">
        <f>SUM(Z26:Z30)</f>
        <v/>
      </c>
      <c r="AA31" s="61">
        <f>SUM(AA26:AA30)</f>
        <v/>
      </c>
      <c r="AB31" s="61">
        <f>SUM(AB26:AB30)</f>
        <v/>
      </c>
      <c r="AC31" s="61">
        <f>SUM(AC26:AC30)</f>
        <v/>
      </c>
      <c r="AD31" s="61">
        <f>SUM(AD26:AD30)</f>
        <v/>
      </c>
      <c r="AE31" s="61">
        <f>SUM(AE26:AE30)</f>
        <v/>
      </c>
      <c r="AF31" s="61">
        <f>SUM(AF26:AF30)</f>
        <v/>
      </c>
      <c r="AG31" s="61">
        <f>SUM(AG26:AG30)</f>
        <v/>
      </c>
      <c r="AH31" s="61">
        <f>SUM(AH26:AH30)</f>
        <v/>
      </c>
      <c r="AI31" s="61">
        <f>SUM(AI26:AI30)</f>
        <v/>
      </c>
      <c r="AJ31" s="61">
        <f>SUM(AJ26:AJ30)</f>
        <v/>
      </c>
      <c r="AK31" s="61">
        <f>SUM(AK26:AK30)</f>
        <v/>
      </c>
      <c r="AL31" s="61">
        <f>SUM(AL26:AL30)</f>
        <v/>
      </c>
    </row>
    <row r="33">
      <c r="A33" s="68" t="inlineStr">
        <is>
          <t>Total operating expenses (S&amp;M + R&amp;D + G&amp;A)</t>
        </is>
      </c>
      <c r="B33" s="60" t="inlineStr">
        <is>
          <t>$</t>
        </is>
      </c>
      <c r="C33" s="61">
        <f>C17+C23+C31</f>
        <v/>
      </c>
      <c r="D33" s="61">
        <f>D17+D23+D31</f>
        <v/>
      </c>
      <c r="E33" s="61">
        <f>E17+E23+E31</f>
        <v/>
      </c>
      <c r="F33" s="61">
        <f>F17+F23+F31</f>
        <v/>
      </c>
      <c r="G33" s="61">
        <f>G17+G23+G31</f>
        <v/>
      </c>
      <c r="H33" s="61">
        <f>H17+H23+H31</f>
        <v/>
      </c>
      <c r="I33" s="61">
        <f>I17+I23+I31</f>
        <v/>
      </c>
      <c r="J33" s="61">
        <f>J17+J23+J31</f>
        <v/>
      </c>
      <c r="K33" s="61">
        <f>K17+K23+K31</f>
        <v/>
      </c>
      <c r="L33" s="61">
        <f>L17+L23+L31</f>
        <v/>
      </c>
      <c r="M33" s="61">
        <f>M17+M23+M31</f>
        <v/>
      </c>
      <c r="N33" s="61">
        <f>N17+N23+N31</f>
        <v/>
      </c>
      <c r="O33" s="61">
        <f>O17+O23+O31</f>
        <v/>
      </c>
      <c r="P33" s="61">
        <f>P17+P23+P31</f>
        <v/>
      </c>
      <c r="Q33" s="61">
        <f>Q17+Q23+Q31</f>
        <v/>
      </c>
      <c r="R33" s="61">
        <f>R17+R23+R31</f>
        <v/>
      </c>
      <c r="S33" s="61">
        <f>S17+S23+S31</f>
        <v/>
      </c>
      <c r="T33" s="61">
        <f>T17+T23+T31</f>
        <v/>
      </c>
      <c r="U33" s="61">
        <f>U17+U23+U31</f>
        <v/>
      </c>
      <c r="V33" s="61">
        <f>V17+V23+V31</f>
        <v/>
      </c>
      <c r="W33" s="61">
        <f>W17+W23+W31</f>
        <v/>
      </c>
      <c r="X33" s="61">
        <f>X17+X23+X31</f>
        <v/>
      </c>
      <c r="Y33" s="61">
        <f>Y17+Y23+Y31</f>
        <v/>
      </c>
      <c r="Z33" s="61">
        <f>Z17+Z23+Z31</f>
        <v/>
      </c>
      <c r="AA33" s="61">
        <f>AA17+AA23+AA31</f>
        <v/>
      </c>
      <c r="AB33" s="61">
        <f>AB17+AB23+AB31</f>
        <v/>
      </c>
      <c r="AC33" s="61">
        <f>AC17+AC23+AC31</f>
        <v/>
      </c>
      <c r="AD33" s="61">
        <f>AD17+AD23+AD31</f>
        <v/>
      </c>
      <c r="AE33" s="61">
        <f>AE17+AE23+AE31</f>
        <v/>
      </c>
      <c r="AF33" s="61">
        <f>AF17+AF23+AF31</f>
        <v/>
      </c>
      <c r="AG33" s="61">
        <f>AG17+AG23+AG31</f>
        <v/>
      </c>
      <c r="AH33" s="61">
        <f>AH17+AH23+AH31</f>
        <v/>
      </c>
      <c r="AI33" s="61">
        <f>AI17+AI23+AI31</f>
        <v/>
      </c>
      <c r="AJ33" s="61">
        <f>AJ17+AJ23+AJ31</f>
        <v/>
      </c>
      <c r="AK33" s="61">
        <f>AK17+AK23+AK31</f>
        <v/>
      </c>
      <c r="AL33" s="61">
        <f>AL17+AL23+AL31</f>
        <v/>
      </c>
    </row>
    <row r="35">
      <c r="A35" s="31" t="inlineStr">
        <is>
          <t>CAPEX PLACEHOLDER AND DEPRECIATION  |  V2 replaces with a full schedule</t>
        </is>
      </c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2" t="n"/>
      <c r="X35" s="32" t="n"/>
      <c r="Y35" s="32" t="n"/>
      <c r="Z35" s="32" t="n"/>
      <c r="AA35" s="32" t="n"/>
      <c r="AB35" s="32" t="n"/>
      <c r="AC35" s="32" t="n"/>
      <c r="AD35" s="32" t="n"/>
      <c r="AE35" s="32" t="n"/>
      <c r="AF35" s="32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</row>
    <row r="36">
      <c r="A36" s="33" t="inlineStr">
        <is>
          <t>Capex</t>
        </is>
      </c>
      <c r="B36" s="34" t="inlineStr">
        <is>
          <t>$</t>
        </is>
      </c>
      <c r="C36" s="58">
        <f>A_Capex</f>
        <v/>
      </c>
      <c r="D36" s="58">
        <f>A_Capex</f>
        <v/>
      </c>
      <c r="E36" s="58">
        <f>A_Capex</f>
        <v/>
      </c>
      <c r="F36" s="58">
        <f>A_Capex</f>
        <v/>
      </c>
      <c r="G36" s="58">
        <f>A_Capex</f>
        <v/>
      </c>
      <c r="H36" s="58">
        <f>A_Capex</f>
        <v/>
      </c>
      <c r="I36" s="58">
        <f>A_Capex</f>
        <v/>
      </c>
      <c r="J36" s="58">
        <f>A_Capex</f>
        <v/>
      </c>
      <c r="K36" s="58">
        <f>A_Capex</f>
        <v/>
      </c>
      <c r="L36" s="58">
        <f>A_Capex</f>
        <v/>
      </c>
      <c r="M36" s="58">
        <f>A_Capex</f>
        <v/>
      </c>
      <c r="N36" s="58">
        <f>A_Capex</f>
        <v/>
      </c>
      <c r="O36" s="58">
        <f>A_Capex</f>
        <v/>
      </c>
      <c r="P36" s="58">
        <f>A_Capex</f>
        <v/>
      </c>
      <c r="Q36" s="58">
        <f>A_Capex</f>
        <v/>
      </c>
      <c r="R36" s="58">
        <f>A_Capex</f>
        <v/>
      </c>
      <c r="S36" s="58">
        <f>A_Capex</f>
        <v/>
      </c>
      <c r="T36" s="58">
        <f>A_Capex</f>
        <v/>
      </c>
      <c r="U36" s="58">
        <f>A_Capex</f>
        <v/>
      </c>
      <c r="V36" s="58">
        <f>A_Capex</f>
        <v/>
      </c>
      <c r="W36" s="58">
        <f>A_Capex</f>
        <v/>
      </c>
      <c r="X36" s="58">
        <f>A_Capex</f>
        <v/>
      </c>
      <c r="Y36" s="58">
        <f>A_Capex</f>
        <v/>
      </c>
      <c r="Z36" s="58">
        <f>A_Capex</f>
        <v/>
      </c>
      <c r="AA36" s="58">
        <f>A_Capex</f>
        <v/>
      </c>
      <c r="AB36" s="58">
        <f>A_Capex</f>
        <v/>
      </c>
      <c r="AC36" s="58">
        <f>A_Capex</f>
        <v/>
      </c>
      <c r="AD36" s="58">
        <f>A_Capex</f>
        <v/>
      </c>
      <c r="AE36" s="58">
        <f>A_Capex</f>
        <v/>
      </c>
      <c r="AF36" s="58">
        <f>A_Capex</f>
        <v/>
      </c>
      <c r="AG36" s="58">
        <f>A_Capex</f>
        <v/>
      </c>
      <c r="AH36" s="58">
        <f>A_Capex</f>
        <v/>
      </c>
      <c r="AI36" s="58">
        <f>A_Capex</f>
        <v/>
      </c>
      <c r="AJ36" s="58">
        <f>A_Capex</f>
        <v/>
      </c>
      <c r="AK36" s="58">
        <f>A_Capex</f>
        <v/>
      </c>
      <c r="AL36" s="58">
        <f>A_Capex</f>
        <v/>
      </c>
    </row>
    <row r="37">
      <c r="A37" s="33" t="inlineStr">
        <is>
          <t>Depreciation and amortisation</t>
        </is>
      </c>
      <c r="B37" s="34" t="inlineStr">
        <is>
          <t>$</t>
        </is>
      </c>
      <c r="C37" s="58">
        <f>SUM($C$36:C36)/A_Life</f>
        <v/>
      </c>
      <c r="D37" s="58">
        <f>SUM($C$36:D36)/A_Life</f>
        <v/>
      </c>
      <c r="E37" s="58">
        <f>SUM($C$36:E36)/A_Life</f>
        <v/>
      </c>
      <c r="F37" s="58">
        <f>SUM($C$36:F36)/A_Life</f>
        <v/>
      </c>
      <c r="G37" s="58">
        <f>SUM($C$36:G36)/A_Life</f>
        <v/>
      </c>
      <c r="H37" s="58">
        <f>SUM($C$36:H36)/A_Life</f>
        <v/>
      </c>
      <c r="I37" s="58">
        <f>SUM($C$36:I36)/A_Life</f>
        <v/>
      </c>
      <c r="J37" s="58">
        <f>SUM($C$36:J36)/A_Life</f>
        <v/>
      </c>
      <c r="K37" s="58">
        <f>SUM($C$36:K36)/A_Life</f>
        <v/>
      </c>
      <c r="L37" s="58">
        <f>SUM($C$36:L36)/A_Life</f>
        <v/>
      </c>
      <c r="M37" s="58">
        <f>SUM($C$36:M36)/A_Life</f>
        <v/>
      </c>
      <c r="N37" s="58">
        <f>SUM($C$36:N36)/A_Life</f>
        <v/>
      </c>
      <c r="O37" s="58">
        <f>SUM($C$36:O36)/A_Life</f>
        <v/>
      </c>
      <c r="P37" s="58">
        <f>SUM($C$36:P36)/A_Life</f>
        <v/>
      </c>
      <c r="Q37" s="58">
        <f>SUM($C$36:Q36)/A_Life</f>
        <v/>
      </c>
      <c r="R37" s="58">
        <f>SUM($C$36:R36)/A_Life</f>
        <v/>
      </c>
      <c r="S37" s="58">
        <f>SUM($C$36:S36)/A_Life</f>
        <v/>
      </c>
      <c r="T37" s="58">
        <f>SUM($C$36:T36)/A_Life</f>
        <v/>
      </c>
      <c r="U37" s="58">
        <f>SUM($C$36:U36)/A_Life</f>
        <v/>
      </c>
      <c r="V37" s="58">
        <f>SUM($C$36:V36)/A_Life</f>
        <v/>
      </c>
      <c r="W37" s="58">
        <f>SUM($C$36:W36)/A_Life</f>
        <v/>
      </c>
      <c r="X37" s="58">
        <f>SUM($C$36:X36)/A_Life</f>
        <v/>
      </c>
      <c r="Y37" s="58">
        <f>SUM($C$36:Y36)/A_Life</f>
        <v/>
      </c>
      <c r="Z37" s="58">
        <f>SUM($C$36:Z36)/A_Life</f>
        <v/>
      </c>
      <c r="AA37" s="58">
        <f>SUM($C$36:AA36)/A_Life</f>
        <v/>
      </c>
      <c r="AB37" s="58">
        <f>SUM($C$36:AB36)/A_Life</f>
        <v/>
      </c>
      <c r="AC37" s="58">
        <f>SUM($C$36:AC36)/A_Life</f>
        <v/>
      </c>
      <c r="AD37" s="58">
        <f>SUM($C$36:AD36)/A_Life</f>
        <v/>
      </c>
      <c r="AE37" s="58">
        <f>SUM($C$36:AE36)/A_Life</f>
        <v/>
      </c>
      <c r="AF37" s="58">
        <f>SUM($C$36:AF36)/A_Life</f>
        <v/>
      </c>
      <c r="AG37" s="58">
        <f>SUM($C$36:AG36)/A_Life</f>
        <v/>
      </c>
      <c r="AH37" s="58">
        <f>SUM($C$36:AH36)/A_Life</f>
        <v/>
      </c>
      <c r="AI37" s="58">
        <f>SUM($C$36:AI36)/A_Life</f>
        <v/>
      </c>
      <c r="AJ37" s="58">
        <f>SUM($C$36:AJ36)/A_Life</f>
        <v/>
      </c>
      <c r="AK37" s="58">
        <f>SUM($C$36:AK36)/A_Life</f>
        <v/>
      </c>
      <c r="AL37" s="58">
        <f>SUM($C$36:AL36)/A_Life</f>
        <v/>
      </c>
    </row>
    <row r="39" ht="24" customHeight="1">
      <c r="A39" s="64" t="inlineStr">
        <is>
          <t>Depreciation is straight line over the asset life on cumulative capex to date; within the 36-month horizon no cohort fully depreciates.</t>
        </is>
      </c>
    </row>
  </sheetData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Analytics&amp;ROperating Expenses</oddHeader>
    <oddFooter>&amp;LFP&amp;&amp;A Planning Model v1.0&amp;CConfidential&amp;RPage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203040"/>
    <outlinePr summaryBelow="1" summaryRight="1"/>
    <pageSetUpPr fitToPage="1"/>
  </sheetPr>
  <dimension ref="A1:AP29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8" defaultColWidth="8.6328125" defaultRowHeight="14.5"/>
  <cols>
    <col width="36" customWidth="1" min="1" max="1"/>
    <col width="9" customWidth="1" min="2" max="2"/>
    <col width="11.453125" customWidth="1" min="3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Income Statement</t>
        </is>
      </c>
      <c r="B2" s="14" t="n"/>
      <c r="C2" s="14" t="n"/>
      <c r="D2" s="14" t="n"/>
      <c r="E2" s="17" t="inlineStr">
        <is>
          <t>monthly P&amp;L with NOL-adjusted tax and FY rollups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>
      <c r="A5" s="54" t="inlineStr">
        <is>
          <t>Month</t>
        </is>
      </c>
      <c r="C5" s="55">
        <f>ModelStart</f>
        <v/>
      </c>
      <c r="D5" s="55">
        <f>EDATE(C5,1)</f>
        <v/>
      </c>
      <c r="E5" s="55">
        <f>EDATE(D5,1)</f>
        <v/>
      </c>
      <c r="F5" s="55">
        <f>EDATE(E5,1)</f>
        <v/>
      </c>
      <c r="G5" s="55">
        <f>EDATE(F5,1)</f>
        <v/>
      </c>
      <c r="H5" s="55">
        <f>EDATE(G5,1)</f>
        <v/>
      </c>
      <c r="I5" s="55">
        <f>EDATE(H5,1)</f>
        <v/>
      </c>
      <c r="J5" s="55">
        <f>EDATE(I5,1)</f>
        <v/>
      </c>
      <c r="K5" s="55">
        <f>EDATE(J5,1)</f>
        <v/>
      </c>
      <c r="L5" s="55">
        <f>EDATE(K5,1)</f>
        <v/>
      </c>
      <c r="M5" s="55">
        <f>EDATE(L5,1)</f>
        <v/>
      </c>
      <c r="N5" s="55">
        <f>EDATE(M5,1)</f>
        <v/>
      </c>
      <c r="O5" s="55">
        <f>EDATE(N5,1)</f>
        <v/>
      </c>
      <c r="P5" s="55">
        <f>EDATE(O5,1)</f>
        <v/>
      </c>
      <c r="Q5" s="55">
        <f>EDATE(P5,1)</f>
        <v/>
      </c>
      <c r="R5" s="55">
        <f>EDATE(Q5,1)</f>
        <v/>
      </c>
      <c r="S5" s="55">
        <f>EDATE(R5,1)</f>
        <v/>
      </c>
      <c r="T5" s="55">
        <f>EDATE(S5,1)</f>
        <v/>
      </c>
      <c r="U5" s="55">
        <f>EDATE(T5,1)</f>
        <v/>
      </c>
      <c r="V5" s="55">
        <f>EDATE(U5,1)</f>
        <v/>
      </c>
      <c r="W5" s="55">
        <f>EDATE(V5,1)</f>
        <v/>
      </c>
      <c r="X5" s="55">
        <f>EDATE(W5,1)</f>
        <v/>
      </c>
      <c r="Y5" s="55">
        <f>EDATE(X5,1)</f>
        <v/>
      </c>
      <c r="Z5" s="55">
        <f>EDATE(Y5,1)</f>
        <v/>
      </c>
      <c r="AA5" s="55">
        <f>EDATE(Z5,1)</f>
        <v/>
      </c>
      <c r="AB5" s="55">
        <f>EDATE(AA5,1)</f>
        <v/>
      </c>
      <c r="AC5" s="55">
        <f>EDATE(AB5,1)</f>
        <v/>
      </c>
      <c r="AD5" s="55">
        <f>EDATE(AC5,1)</f>
        <v/>
      </c>
      <c r="AE5" s="55">
        <f>EDATE(AD5,1)</f>
        <v/>
      </c>
      <c r="AF5" s="55">
        <f>EDATE(AE5,1)</f>
        <v/>
      </c>
      <c r="AG5" s="55">
        <f>EDATE(AF5,1)</f>
        <v/>
      </c>
      <c r="AH5" s="55">
        <f>EDATE(AG5,1)</f>
        <v/>
      </c>
      <c r="AI5" s="55">
        <f>EDATE(AH5,1)</f>
        <v/>
      </c>
      <c r="AJ5" s="55">
        <f>EDATE(AI5,1)</f>
        <v/>
      </c>
      <c r="AK5" s="55">
        <f>EDATE(AJ5,1)</f>
        <v/>
      </c>
      <c r="AL5" s="55">
        <f>EDATE(AK5,1)</f>
        <v/>
      </c>
      <c r="AN5" s="69" t="inlineStr">
        <is>
          <t>FY2026</t>
        </is>
      </c>
      <c r="AO5" s="69" t="inlineStr">
        <is>
          <t>FY2027</t>
        </is>
      </c>
      <c r="AP5" s="69" t="inlineStr">
        <is>
          <t>FY2028</t>
        </is>
      </c>
    </row>
    <row r="7">
      <c r="A7" s="54" t="inlineStr">
        <is>
          <t>Revenue</t>
        </is>
      </c>
      <c r="B7" s="34" t="inlineStr">
        <is>
          <t>$</t>
        </is>
      </c>
      <c r="C7" s="67">
        <f>'Revenue Model'!C36</f>
        <v/>
      </c>
      <c r="D7" s="67">
        <f>'Revenue Model'!D36</f>
        <v/>
      </c>
      <c r="E7" s="67">
        <f>'Revenue Model'!E36</f>
        <v/>
      </c>
      <c r="F7" s="67">
        <f>'Revenue Model'!F36</f>
        <v/>
      </c>
      <c r="G7" s="67">
        <f>'Revenue Model'!G36</f>
        <v/>
      </c>
      <c r="H7" s="67">
        <f>'Revenue Model'!H36</f>
        <v/>
      </c>
      <c r="I7" s="67">
        <f>'Revenue Model'!I36</f>
        <v/>
      </c>
      <c r="J7" s="67">
        <f>'Revenue Model'!J36</f>
        <v/>
      </c>
      <c r="K7" s="67">
        <f>'Revenue Model'!K36</f>
        <v/>
      </c>
      <c r="L7" s="67">
        <f>'Revenue Model'!L36</f>
        <v/>
      </c>
      <c r="M7" s="67">
        <f>'Revenue Model'!M36</f>
        <v/>
      </c>
      <c r="N7" s="67">
        <f>'Revenue Model'!N36</f>
        <v/>
      </c>
      <c r="O7" s="67">
        <f>'Revenue Model'!O36</f>
        <v/>
      </c>
      <c r="P7" s="67">
        <f>'Revenue Model'!P36</f>
        <v/>
      </c>
      <c r="Q7" s="67">
        <f>'Revenue Model'!Q36</f>
        <v/>
      </c>
      <c r="R7" s="67">
        <f>'Revenue Model'!R36</f>
        <v/>
      </c>
      <c r="S7" s="67">
        <f>'Revenue Model'!S36</f>
        <v/>
      </c>
      <c r="T7" s="67">
        <f>'Revenue Model'!T36</f>
        <v/>
      </c>
      <c r="U7" s="67">
        <f>'Revenue Model'!U36</f>
        <v/>
      </c>
      <c r="V7" s="67">
        <f>'Revenue Model'!V36</f>
        <v/>
      </c>
      <c r="W7" s="67">
        <f>'Revenue Model'!W36</f>
        <v/>
      </c>
      <c r="X7" s="67">
        <f>'Revenue Model'!X36</f>
        <v/>
      </c>
      <c r="Y7" s="67">
        <f>'Revenue Model'!Y36</f>
        <v/>
      </c>
      <c r="Z7" s="67">
        <f>'Revenue Model'!Z36</f>
        <v/>
      </c>
      <c r="AA7" s="67">
        <f>'Revenue Model'!AA36</f>
        <v/>
      </c>
      <c r="AB7" s="67">
        <f>'Revenue Model'!AB36</f>
        <v/>
      </c>
      <c r="AC7" s="67">
        <f>'Revenue Model'!AC36</f>
        <v/>
      </c>
      <c r="AD7" s="67">
        <f>'Revenue Model'!AD36</f>
        <v/>
      </c>
      <c r="AE7" s="67">
        <f>'Revenue Model'!AE36</f>
        <v/>
      </c>
      <c r="AF7" s="67">
        <f>'Revenue Model'!AF36</f>
        <v/>
      </c>
      <c r="AG7" s="67">
        <f>'Revenue Model'!AG36</f>
        <v/>
      </c>
      <c r="AH7" s="67">
        <f>'Revenue Model'!AH36</f>
        <v/>
      </c>
      <c r="AI7" s="67">
        <f>'Revenue Model'!AI36</f>
        <v/>
      </c>
      <c r="AJ7" s="67">
        <f>'Revenue Model'!AJ36</f>
        <v/>
      </c>
      <c r="AK7" s="67">
        <f>'Revenue Model'!AK36</f>
        <v/>
      </c>
      <c r="AL7" s="67">
        <f>'Revenue Model'!AL36</f>
        <v/>
      </c>
      <c r="AN7" s="58">
        <f>SUM(C7:N7)</f>
        <v/>
      </c>
      <c r="AO7" s="58">
        <f>SUM(O7:Z7)</f>
        <v/>
      </c>
      <c r="AP7" s="58">
        <f>SUM(AA7:AL7)</f>
        <v/>
      </c>
    </row>
    <row r="8">
      <c r="A8" s="33" t="inlineStr">
        <is>
          <t>Cost of goods sold</t>
        </is>
      </c>
      <c r="B8" s="34" t="inlineStr">
        <is>
          <t>$</t>
        </is>
      </c>
      <c r="C8" s="67">
        <f>'Operating Expenses'!C10</f>
        <v/>
      </c>
      <c r="D8" s="67">
        <f>'Operating Expenses'!D10</f>
        <v/>
      </c>
      <c r="E8" s="67">
        <f>'Operating Expenses'!E10</f>
        <v/>
      </c>
      <c r="F8" s="67">
        <f>'Operating Expenses'!F10</f>
        <v/>
      </c>
      <c r="G8" s="67">
        <f>'Operating Expenses'!G10</f>
        <v/>
      </c>
      <c r="H8" s="67">
        <f>'Operating Expenses'!H10</f>
        <v/>
      </c>
      <c r="I8" s="67">
        <f>'Operating Expenses'!I10</f>
        <v/>
      </c>
      <c r="J8" s="67">
        <f>'Operating Expenses'!J10</f>
        <v/>
      </c>
      <c r="K8" s="67">
        <f>'Operating Expenses'!K10</f>
        <v/>
      </c>
      <c r="L8" s="67">
        <f>'Operating Expenses'!L10</f>
        <v/>
      </c>
      <c r="M8" s="67">
        <f>'Operating Expenses'!M10</f>
        <v/>
      </c>
      <c r="N8" s="67">
        <f>'Operating Expenses'!N10</f>
        <v/>
      </c>
      <c r="O8" s="67">
        <f>'Operating Expenses'!O10</f>
        <v/>
      </c>
      <c r="P8" s="67">
        <f>'Operating Expenses'!P10</f>
        <v/>
      </c>
      <c r="Q8" s="67">
        <f>'Operating Expenses'!Q10</f>
        <v/>
      </c>
      <c r="R8" s="67">
        <f>'Operating Expenses'!R10</f>
        <v/>
      </c>
      <c r="S8" s="67">
        <f>'Operating Expenses'!S10</f>
        <v/>
      </c>
      <c r="T8" s="67">
        <f>'Operating Expenses'!T10</f>
        <v/>
      </c>
      <c r="U8" s="67">
        <f>'Operating Expenses'!U10</f>
        <v/>
      </c>
      <c r="V8" s="67">
        <f>'Operating Expenses'!V10</f>
        <v/>
      </c>
      <c r="W8" s="67">
        <f>'Operating Expenses'!W10</f>
        <v/>
      </c>
      <c r="X8" s="67">
        <f>'Operating Expenses'!X10</f>
        <v/>
      </c>
      <c r="Y8" s="67">
        <f>'Operating Expenses'!Y10</f>
        <v/>
      </c>
      <c r="Z8" s="67">
        <f>'Operating Expenses'!Z10</f>
        <v/>
      </c>
      <c r="AA8" s="67">
        <f>'Operating Expenses'!AA10</f>
        <v/>
      </c>
      <c r="AB8" s="67">
        <f>'Operating Expenses'!AB10</f>
        <v/>
      </c>
      <c r="AC8" s="67">
        <f>'Operating Expenses'!AC10</f>
        <v/>
      </c>
      <c r="AD8" s="67">
        <f>'Operating Expenses'!AD10</f>
        <v/>
      </c>
      <c r="AE8" s="67">
        <f>'Operating Expenses'!AE10</f>
        <v/>
      </c>
      <c r="AF8" s="67">
        <f>'Operating Expenses'!AF10</f>
        <v/>
      </c>
      <c r="AG8" s="67">
        <f>'Operating Expenses'!AG10</f>
        <v/>
      </c>
      <c r="AH8" s="67">
        <f>'Operating Expenses'!AH10</f>
        <v/>
      </c>
      <c r="AI8" s="67">
        <f>'Operating Expenses'!AI10</f>
        <v/>
      </c>
      <c r="AJ8" s="67">
        <f>'Operating Expenses'!AJ10</f>
        <v/>
      </c>
      <c r="AK8" s="67">
        <f>'Operating Expenses'!AK10</f>
        <v/>
      </c>
      <c r="AL8" s="67">
        <f>'Operating Expenses'!AL10</f>
        <v/>
      </c>
      <c r="AN8" s="58">
        <f>SUM(C8:N8)</f>
        <v/>
      </c>
      <c r="AO8" s="58">
        <f>SUM(O8:Z8)</f>
        <v/>
      </c>
      <c r="AP8" s="58">
        <f>SUM(AA8:AL8)</f>
        <v/>
      </c>
    </row>
    <row r="9">
      <c r="A9" s="68" t="inlineStr">
        <is>
          <t>Gross profit</t>
        </is>
      </c>
      <c r="B9" s="60" t="inlineStr">
        <is>
          <t>$</t>
        </is>
      </c>
      <c r="C9" s="61">
        <f>C7-C8</f>
        <v/>
      </c>
      <c r="D9" s="61">
        <f>D7-D8</f>
        <v/>
      </c>
      <c r="E9" s="61">
        <f>E7-E8</f>
        <v/>
      </c>
      <c r="F9" s="61">
        <f>F7-F8</f>
        <v/>
      </c>
      <c r="G9" s="61">
        <f>G7-G8</f>
        <v/>
      </c>
      <c r="H9" s="61">
        <f>H7-H8</f>
        <v/>
      </c>
      <c r="I9" s="61">
        <f>I7-I8</f>
        <v/>
      </c>
      <c r="J9" s="61">
        <f>J7-J8</f>
        <v/>
      </c>
      <c r="K9" s="61">
        <f>K7-K8</f>
        <v/>
      </c>
      <c r="L9" s="61">
        <f>L7-L8</f>
        <v/>
      </c>
      <c r="M9" s="61">
        <f>M7-M8</f>
        <v/>
      </c>
      <c r="N9" s="61">
        <f>N7-N8</f>
        <v/>
      </c>
      <c r="O9" s="61">
        <f>O7-O8</f>
        <v/>
      </c>
      <c r="P9" s="61">
        <f>P7-P8</f>
        <v/>
      </c>
      <c r="Q9" s="61">
        <f>Q7-Q8</f>
        <v/>
      </c>
      <c r="R9" s="61">
        <f>R7-R8</f>
        <v/>
      </c>
      <c r="S9" s="61">
        <f>S7-S8</f>
        <v/>
      </c>
      <c r="T9" s="61">
        <f>T7-T8</f>
        <v/>
      </c>
      <c r="U9" s="61">
        <f>U7-U8</f>
        <v/>
      </c>
      <c r="V9" s="61">
        <f>V7-V8</f>
        <v/>
      </c>
      <c r="W9" s="61">
        <f>W7-W8</f>
        <v/>
      </c>
      <c r="X9" s="61">
        <f>X7-X8</f>
        <v/>
      </c>
      <c r="Y9" s="61">
        <f>Y7-Y8</f>
        <v/>
      </c>
      <c r="Z9" s="61">
        <f>Z7-Z8</f>
        <v/>
      </c>
      <c r="AA9" s="61">
        <f>AA7-AA8</f>
        <v/>
      </c>
      <c r="AB9" s="61">
        <f>AB7-AB8</f>
        <v/>
      </c>
      <c r="AC9" s="61">
        <f>AC7-AC8</f>
        <v/>
      </c>
      <c r="AD9" s="61">
        <f>AD7-AD8</f>
        <v/>
      </c>
      <c r="AE9" s="61">
        <f>AE7-AE8</f>
        <v/>
      </c>
      <c r="AF9" s="61">
        <f>AF7-AF8</f>
        <v/>
      </c>
      <c r="AG9" s="61">
        <f>AG7-AG8</f>
        <v/>
      </c>
      <c r="AH9" s="61">
        <f>AH7-AH8</f>
        <v/>
      </c>
      <c r="AI9" s="61">
        <f>AI7-AI8</f>
        <v/>
      </c>
      <c r="AJ9" s="61">
        <f>AJ7-AJ8</f>
        <v/>
      </c>
      <c r="AK9" s="61">
        <f>AK7-AK8</f>
        <v/>
      </c>
      <c r="AL9" s="61">
        <f>AL7-AL8</f>
        <v/>
      </c>
      <c r="AN9" s="62">
        <f>SUM(C9:N9)</f>
        <v/>
      </c>
      <c r="AO9" s="62">
        <f>SUM(O9:Z9)</f>
        <v/>
      </c>
      <c r="AP9" s="62">
        <f>SUM(AA9:AL9)</f>
        <v/>
      </c>
    </row>
    <row r="10">
      <c r="A10" s="63" t="inlineStr">
        <is>
          <t>Gross margin</t>
        </is>
      </c>
      <c r="B10" s="34" t="inlineStr">
        <is>
          <t>%</t>
        </is>
      </c>
      <c r="C10" s="70">
        <f>IFERROR(C9/C7,0)</f>
        <v/>
      </c>
      <c r="D10" s="70">
        <f>IFERROR(D9/D7,0)</f>
        <v/>
      </c>
      <c r="E10" s="70">
        <f>IFERROR(E9/E7,0)</f>
        <v/>
      </c>
      <c r="F10" s="70">
        <f>IFERROR(F9/F7,0)</f>
        <v/>
      </c>
      <c r="G10" s="70">
        <f>IFERROR(G9/G7,0)</f>
        <v/>
      </c>
      <c r="H10" s="70">
        <f>IFERROR(H9/H7,0)</f>
        <v/>
      </c>
      <c r="I10" s="70">
        <f>IFERROR(I9/I7,0)</f>
        <v/>
      </c>
      <c r="J10" s="70">
        <f>IFERROR(J9/J7,0)</f>
        <v/>
      </c>
      <c r="K10" s="70">
        <f>IFERROR(K9/K7,0)</f>
        <v/>
      </c>
      <c r="L10" s="70">
        <f>IFERROR(L9/L7,0)</f>
        <v/>
      </c>
      <c r="M10" s="70">
        <f>IFERROR(M9/M7,0)</f>
        <v/>
      </c>
      <c r="N10" s="70">
        <f>IFERROR(N9/N7,0)</f>
        <v/>
      </c>
      <c r="O10" s="70">
        <f>IFERROR(O9/O7,0)</f>
        <v/>
      </c>
      <c r="P10" s="70">
        <f>IFERROR(P9/P7,0)</f>
        <v/>
      </c>
      <c r="Q10" s="70">
        <f>IFERROR(Q9/Q7,0)</f>
        <v/>
      </c>
      <c r="R10" s="70">
        <f>IFERROR(R9/R7,0)</f>
        <v/>
      </c>
      <c r="S10" s="70">
        <f>IFERROR(S9/S7,0)</f>
        <v/>
      </c>
      <c r="T10" s="70">
        <f>IFERROR(T9/T7,0)</f>
        <v/>
      </c>
      <c r="U10" s="70">
        <f>IFERROR(U9/U7,0)</f>
        <v/>
      </c>
      <c r="V10" s="70">
        <f>IFERROR(V9/V7,0)</f>
        <v/>
      </c>
      <c r="W10" s="70">
        <f>IFERROR(W9/W7,0)</f>
        <v/>
      </c>
      <c r="X10" s="70">
        <f>IFERROR(X9/X7,0)</f>
        <v/>
      </c>
      <c r="Y10" s="70">
        <f>IFERROR(Y9/Y7,0)</f>
        <v/>
      </c>
      <c r="Z10" s="70">
        <f>IFERROR(Z9/Z7,0)</f>
        <v/>
      </c>
      <c r="AA10" s="70">
        <f>IFERROR(AA9/AA7,0)</f>
        <v/>
      </c>
      <c r="AB10" s="70">
        <f>IFERROR(AB9/AB7,0)</f>
        <v/>
      </c>
      <c r="AC10" s="70">
        <f>IFERROR(AC9/AC7,0)</f>
        <v/>
      </c>
      <c r="AD10" s="70">
        <f>IFERROR(AD9/AD7,0)</f>
        <v/>
      </c>
      <c r="AE10" s="70">
        <f>IFERROR(AE9/AE7,0)</f>
        <v/>
      </c>
      <c r="AF10" s="70">
        <f>IFERROR(AF9/AF7,0)</f>
        <v/>
      </c>
      <c r="AG10" s="70">
        <f>IFERROR(AG9/AG7,0)</f>
        <v/>
      </c>
      <c r="AH10" s="70">
        <f>IFERROR(AH9/AH7,0)</f>
        <v/>
      </c>
      <c r="AI10" s="70">
        <f>IFERROR(AI9/AI7,0)</f>
        <v/>
      </c>
      <c r="AJ10" s="70">
        <f>IFERROR(AJ9/AJ7,0)</f>
        <v/>
      </c>
      <c r="AK10" s="70">
        <f>IFERROR(AK9/AK7,0)</f>
        <v/>
      </c>
      <c r="AL10" s="70">
        <f>IFERROR(AL9/AL7,0)</f>
        <v/>
      </c>
      <c r="AN10" s="70">
        <f>IFERROR(AN9/AN7,0)</f>
        <v/>
      </c>
      <c r="AO10" s="70">
        <f>IFERROR(AO9/AO7,0)</f>
        <v/>
      </c>
      <c r="AP10" s="70">
        <f>IFERROR(AP9/AP7,0)</f>
        <v/>
      </c>
    </row>
    <row r="12">
      <c r="A12" s="33" t="inlineStr">
        <is>
          <t>Sales and marketing</t>
        </is>
      </c>
      <c r="B12" s="34" t="inlineStr">
        <is>
          <t>$</t>
        </is>
      </c>
      <c r="C12" s="67">
        <f>'Operating Expenses'!C17</f>
        <v/>
      </c>
      <c r="D12" s="67">
        <f>'Operating Expenses'!D17</f>
        <v/>
      </c>
      <c r="E12" s="67">
        <f>'Operating Expenses'!E17</f>
        <v/>
      </c>
      <c r="F12" s="67">
        <f>'Operating Expenses'!F17</f>
        <v/>
      </c>
      <c r="G12" s="67">
        <f>'Operating Expenses'!G17</f>
        <v/>
      </c>
      <c r="H12" s="67">
        <f>'Operating Expenses'!H17</f>
        <v/>
      </c>
      <c r="I12" s="67">
        <f>'Operating Expenses'!I17</f>
        <v/>
      </c>
      <c r="J12" s="67">
        <f>'Operating Expenses'!J17</f>
        <v/>
      </c>
      <c r="K12" s="67">
        <f>'Operating Expenses'!K17</f>
        <v/>
      </c>
      <c r="L12" s="67">
        <f>'Operating Expenses'!L17</f>
        <v/>
      </c>
      <c r="M12" s="67">
        <f>'Operating Expenses'!M17</f>
        <v/>
      </c>
      <c r="N12" s="67">
        <f>'Operating Expenses'!N17</f>
        <v/>
      </c>
      <c r="O12" s="67">
        <f>'Operating Expenses'!O17</f>
        <v/>
      </c>
      <c r="P12" s="67">
        <f>'Operating Expenses'!P17</f>
        <v/>
      </c>
      <c r="Q12" s="67">
        <f>'Operating Expenses'!Q17</f>
        <v/>
      </c>
      <c r="R12" s="67">
        <f>'Operating Expenses'!R17</f>
        <v/>
      </c>
      <c r="S12" s="67">
        <f>'Operating Expenses'!S17</f>
        <v/>
      </c>
      <c r="T12" s="67">
        <f>'Operating Expenses'!T17</f>
        <v/>
      </c>
      <c r="U12" s="67">
        <f>'Operating Expenses'!U17</f>
        <v/>
      </c>
      <c r="V12" s="67">
        <f>'Operating Expenses'!V17</f>
        <v/>
      </c>
      <c r="W12" s="67">
        <f>'Operating Expenses'!W17</f>
        <v/>
      </c>
      <c r="X12" s="67">
        <f>'Operating Expenses'!X17</f>
        <v/>
      </c>
      <c r="Y12" s="67">
        <f>'Operating Expenses'!Y17</f>
        <v/>
      </c>
      <c r="Z12" s="67">
        <f>'Operating Expenses'!Z17</f>
        <v/>
      </c>
      <c r="AA12" s="67">
        <f>'Operating Expenses'!AA17</f>
        <v/>
      </c>
      <c r="AB12" s="67">
        <f>'Operating Expenses'!AB17</f>
        <v/>
      </c>
      <c r="AC12" s="67">
        <f>'Operating Expenses'!AC17</f>
        <v/>
      </c>
      <c r="AD12" s="67">
        <f>'Operating Expenses'!AD17</f>
        <v/>
      </c>
      <c r="AE12" s="67">
        <f>'Operating Expenses'!AE17</f>
        <v/>
      </c>
      <c r="AF12" s="67">
        <f>'Operating Expenses'!AF17</f>
        <v/>
      </c>
      <c r="AG12" s="67">
        <f>'Operating Expenses'!AG17</f>
        <v/>
      </c>
      <c r="AH12" s="67">
        <f>'Operating Expenses'!AH17</f>
        <v/>
      </c>
      <c r="AI12" s="67">
        <f>'Operating Expenses'!AI17</f>
        <v/>
      </c>
      <c r="AJ12" s="67">
        <f>'Operating Expenses'!AJ17</f>
        <v/>
      </c>
      <c r="AK12" s="67">
        <f>'Operating Expenses'!AK17</f>
        <v/>
      </c>
      <c r="AL12" s="67">
        <f>'Operating Expenses'!AL17</f>
        <v/>
      </c>
      <c r="AN12" s="58">
        <f>SUM(C12:N12)</f>
        <v/>
      </c>
      <c r="AO12" s="58">
        <f>SUM(O12:Z12)</f>
        <v/>
      </c>
      <c r="AP12" s="58">
        <f>SUM(AA12:AL12)</f>
        <v/>
      </c>
    </row>
    <row r="13">
      <c r="A13" s="33" t="inlineStr">
        <is>
          <t>Research and development</t>
        </is>
      </c>
      <c r="B13" s="34" t="inlineStr">
        <is>
          <t>$</t>
        </is>
      </c>
      <c r="C13" s="67">
        <f>'Operating Expenses'!C23</f>
        <v/>
      </c>
      <c r="D13" s="67">
        <f>'Operating Expenses'!D23</f>
        <v/>
      </c>
      <c r="E13" s="67">
        <f>'Operating Expenses'!E23</f>
        <v/>
      </c>
      <c r="F13" s="67">
        <f>'Operating Expenses'!F23</f>
        <v/>
      </c>
      <c r="G13" s="67">
        <f>'Operating Expenses'!G23</f>
        <v/>
      </c>
      <c r="H13" s="67">
        <f>'Operating Expenses'!H23</f>
        <v/>
      </c>
      <c r="I13" s="67">
        <f>'Operating Expenses'!I23</f>
        <v/>
      </c>
      <c r="J13" s="67">
        <f>'Operating Expenses'!J23</f>
        <v/>
      </c>
      <c r="K13" s="67">
        <f>'Operating Expenses'!K23</f>
        <v/>
      </c>
      <c r="L13" s="67">
        <f>'Operating Expenses'!L23</f>
        <v/>
      </c>
      <c r="M13" s="67">
        <f>'Operating Expenses'!M23</f>
        <v/>
      </c>
      <c r="N13" s="67">
        <f>'Operating Expenses'!N23</f>
        <v/>
      </c>
      <c r="O13" s="67">
        <f>'Operating Expenses'!O23</f>
        <v/>
      </c>
      <c r="P13" s="67">
        <f>'Operating Expenses'!P23</f>
        <v/>
      </c>
      <c r="Q13" s="67">
        <f>'Operating Expenses'!Q23</f>
        <v/>
      </c>
      <c r="R13" s="67">
        <f>'Operating Expenses'!R23</f>
        <v/>
      </c>
      <c r="S13" s="67">
        <f>'Operating Expenses'!S23</f>
        <v/>
      </c>
      <c r="T13" s="67">
        <f>'Operating Expenses'!T23</f>
        <v/>
      </c>
      <c r="U13" s="67">
        <f>'Operating Expenses'!U23</f>
        <v/>
      </c>
      <c r="V13" s="67">
        <f>'Operating Expenses'!V23</f>
        <v/>
      </c>
      <c r="W13" s="67">
        <f>'Operating Expenses'!W23</f>
        <v/>
      </c>
      <c r="X13" s="67">
        <f>'Operating Expenses'!X23</f>
        <v/>
      </c>
      <c r="Y13" s="67">
        <f>'Operating Expenses'!Y23</f>
        <v/>
      </c>
      <c r="Z13" s="67">
        <f>'Operating Expenses'!Z23</f>
        <v/>
      </c>
      <c r="AA13" s="67">
        <f>'Operating Expenses'!AA23</f>
        <v/>
      </c>
      <c r="AB13" s="67">
        <f>'Operating Expenses'!AB23</f>
        <v/>
      </c>
      <c r="AC13" s="67">
        <f>'Operating Expenses'!AC23</f>
        <v/>
      </c>
      <c r="AD13" s="67">
        <f>'Operating Expenses'!AD23</f>
        <v/>
      </c>
      <c r="AE13" s="67">
        <f>'Operating Expenses'!AE23</f>
        <v/>
      </c>
      <c r="AF13" s="67">
        <f>'Operating Expenses'!AF23</f>
        <v/>
      </c>
      <c r="AG13" s="67">
        <f>'Operating Expenses'!AG23</f>
        <v/>
      </c>
      <c r="AH13" s="67">
        <f>'Operating Expenses'!AH23</f>
        <v/>
      </c>
      <c r="AI13" s="67">
        <f>'Operating Expenses'!AI23</f>
        <v/>
      </c>
      <c r="AJ13" s="67">
        <f>'Operating Expenses'!AJ23</f>
        <v/>
      </c>
      <c r="AK13" s="67">
        <f>'Operating Expenses'!AK23</f>
        <v/>
      </c>
      <c r="AL13" s="67">
        <f>'Operating Expenses'!AL23</f>
        <v/>
      </c>
      <c r="AN13" s="58">
        <f>SUM(C13:N13)</f>
        <v/>
      </c>
      <c r="AO13" s="58">
        <f>SUM(O13:Z13)</f>
        <v/>
      </c>
      <c r="AP13" s="58">
        <f>SUM(AA13:AL13)</f>
        <v/>
      </c>
    </row>
    <row r="14">
      <c r="A14" s="33" t="inlineStr">
        <is>
          <t>General and administrative</t>
        </is>
      </c>
      <c r="B14" s="34" t="inlineStr">
        <is>
          <t>$</t>
        </is>
      </c>
      <c r="C14" s="67">
        <f>'Operating Expenses'!C31</f>
        <v/>
      </c>
      <c r="D14" s="67">
        <f>'Operating Expenses'!D31</f>
        <v/>
      </c>
      <c r="E14" s="67">
        <f>'Operating Expenses'!E31</f>
        <v/>
      </c>
      <c r="F14" s="67">
        <f>'Operating Expenses'!F31</f>
        <v/>
      </c>
      <c r="G14" s="67">
        <f>'Operating Expenses'!G31</f>
        <v/>
      </c>
      <c r="H14" s="67">
        <f>'Operating Expenses'!H31</f>
        <v/>
      </c>
      <c r="I14" s="67">
        <f>'Operating Expenses'!I31</f>
        <v/>
      </c>
      <c r="J14" s="67">
        <f>'Operating Expenses'!J31</f>
        <v/>
      </c>
      <c r="K14" s="67">
        <f>'Operating Expenses'!K31</f>
        <v/>
      </c>
      <c r="L14" s="67">
        <f>'Operating Expenses'!L31</f>
        <v/>
      </c>
      <c r="M14" s="67">
        <f>'Operating Expenses'!M31</f>
        <v/>
      </c>
      <c r="N14" s="67">
        <f>'Operating Expenses'!N31</f>
        <v/>
      </c>
      <c r="O14" s="67">
        <f>'Operating Expenses'!O31</f>
        <v/>
      </c>
      <c r="P14" s="67">
        <f>'Operating Expenses'!P31</f>
        <v/>
      </c>
      <c r="Q14" s="67">
        <f>'Operating Expenses'!Q31</f>
        <v/>
      </c>
      <c r="R14" s="67">
        <f>'Operating Expenses'!R31</f>
        <v/>
      </c>
      <c r="S14" s="67">
        <f>'Operating Expenses'!S31</f>
        <v/>
      </c>
      <c r="T14" s="67">
        <f>'Operating Expenses'!T31</f>
        <v/>
      </c>
      <c r="U14" s="67">
        <f>'Operating Expenses'!U31</f>
        <v/>
      </c>
      <c r="V14" s="67">
        <f>'Operating Expenses'!V31</f>
        <v/>
      </c>
      <c r="W14" s="67">
        <f>'Operating Expenses'!W31</f>
        <v/>
      </c>
      <c r="X14" s="67">
        <f>'Operating Expenses'!X31</f>
        <v/>
      </c>
      <c r="Y14" s="67">
        <f>'Operating Expenses'!Y31</f>
        <v/>
      </c>
      <c r="Z14" s="67">
        <f>'Operating Expenses'!Z31</f>
        <v/>
      </c>
      <c r="AA14" s="67">
        <f>'Operating Expenses'!AA31</f>
        <v/>
      </c>
      <c r="AB14" s="67">
        <f>'Operating Expenses'!AB31</f>
        <v/>
      </c>
      <c r="AC14" s="67">
        <f>'Operating Expenses'!AC31</f>
        <v/>
      </c>
      <c r="AD14" s="67">
        <f>'Operating Expenses'!AD31</f>
        <v/>
      </c>
      <c r="AE14" s="67">
        <f>'Operating Expenses'!AE31</f>
        <v/>
      </c>
      <c r="AF14" s="67">
        <f>'Operating Expenses'!AF31</f>
        <v/>
      </c>
      <c r="AG14" s="67">
        <f>'Operating Expenses'!AG31</f>
        <v/>
      </c>
      <c r="AH14" s="67">
        <f>'Operating Expenses'!AH31</f>
        <v/>
      </c>
      <c r="AI14" s="67">
        <f>'Operating Expenses'!AI31</f>
        <v/>
      </c>
      <c r="AJ14" s="67">
        <f>'Operating Expenses'!AJ31</f>
        <v/>
      </c>
      <c r="AK14" s="67">
        <f>'Operating Expenses'!AK31</f>
        <v/>
      </c>
      <c r="AL14" s="67">
        <f>'Operating Expenses'!AL31</f>
        <v/>
      </c>
      <c r="AN14" s="58">
        <f>SUM(C14:N14)</f>
        <v/>
      </c>
      <c r="AO14" s="58">
        <f>SUM(O14:Z14)</f>
        <v/>
      </c>
      <c r="AP14" s="58">
        <f>SUM(AA14:AL14)</f>
        <v/>
      </c>
    </row>
    <row r="15">
      <c r="A15" s="68" t="inlineStr">
        <is>
          <t>Total operating expenses</t>
        </is>
      </c>
      <c r="B15" s="60" t="inlineStr">
        <is>
          <t>$</t>
        </is>
      </c>
      <c r="C15" s="61">
        <f>C12+C13+C14</f>
        <v/>
      </c>
      <c r="D15" s="61">
        <f>D12+D13+D14</f>
        <v/>
      </c>
      <c r="E15" s="61">
        <f>E12+E13+E14</f>
        <v/>
      </c>
      <c r="F15" s="61">
        <f>F12+F13+F14</f>
        <v/>
      </c>
      <c r="G15" s="61">
        <f>G12+G13+G14</f>
        <v/>
      </c>
      <c r="H15" s="61">
        <f>H12+H13+H14</f>
        <v/>
      </c>
      <c r="I15" s="61">
        <f>I12+I13+I14</f>
        <v/>
      </c>
      <c r="J15" s="61">
        <f>J12+J13+J14</f>
        <v/>
      </c>
      <c r="K15" s="61">
        <f>K12+K13+K14</f>
        <v/>
      </c>
      <c r="L15" s="61">
        <f>L12+L13+L14</f>
        <v/>
      </c>
      <c r="M15" s="61">
        <f>M12+M13+M14</f>
        <v/>
      </c>
      <c r="N15" s="61">
        <f>N12+N13+N14</f>
        <v/>
      </c>
      <c r="O15" s="61">
        <f>O12+O13+O14</f>
        <v/>
      </c>
      <c r="P15" s="61">
        <f>P12+P13+P14</f>
        <v/>
      </c>
      <c r="Q15" s="61">
        <f>Q12+Q13+Q14</f>
        <v/>
      </c>
      <c r="R15" s="61">
        <f>R12+R13+R14</f>
        <v/>
      </c>
      <c r="S15" s="61">
        <f>S12+S13+S14</f>
        <v/>
      </c>
      <c r="T15" s="61">
        <f>T12+T13+T14</f>
        <v/>
      </c>
      <c r="U15" s="61">
        <f>U12+U13+U14</f>
        <v/>
      </c>
      <c r="V15" s="61">
        <f>V12+V13+V14</f>
        <v/>
      </c>
      <c r="W15" s="61">
        <f>W12+W13+W14</f>
        <v/>
      </c>
      <c r="X15" s="61">
        <f>X12+X13+X14</f>
        <v/>
      </c>
      <c r="Y15" s="61">
        <f>Y12+Y13+Y14</f>
        <v/>
      </c>
      <c r="Z15" s="61">
        <f>Z12+Z13+Z14</f>
        <v/>
      </c>
      <c r="AA15" s="61">
        <f>AA12+AA13+AA14</f>
        <v/>
      </c>
      <c r="AB15" s="61">
        <f>AB12+AB13+AB14</f>
        <v/>
      </c>
      <c r="AC15" s="61">
        <f>AC12+AC13+AC14</f>
        <v/>
      </c>
      <c r="AD15" s="61">
        <f>AD12+AD13+AD14</f>
        <v/>
      </c>
      <c r="AE15" s="61">
        <f>AE12+AE13+AE14</f>
        <v/>
      </c>
      <c r="AF15" s="61">
        <f>AF12+AF13+AF14</f>
        <v/>
      </c>
      <c r="AG15" s="61">
        <f>AG12+AG13+AG14</f>
        <v/>
      </c>
      <c r="AH15" s="61">
        <f>AH12+AH13+AH14</f>
        <v/>
      </c>
      <c r="AI15" s="61">
        <f>AI12+AI13+AI14</f>
        <v/>
      </c>
      <c r="AJ15" s="61">
        <f>AJ12+AJ13+AJ14</f>
        <v/>
      </c>
      <c r="AK15" s="61">
        <f>AK12+AK13+AK14</f>
        <v/>
      </c>
      <c r="AL15" s="61">
        <f>AL12+AL13+AL14</f>
        <v/>
      </c>
      <c r="AN15" s="62">
        <f>SUM(C15:N15)</f>
        <v/>
      </c>
      <c r="AO15" s="62">
        <f>SUM(O15:Z15)</f>
        <v/>
      </c>
      <c r="AP15" s="62">
        <f>SUM(AA15:AL15)</f>
        <v/>
      </c>
    </row>
    <row r="17">
      <c r="A17" s="68" t="inlineStr">
        <is>
          <t>EBITDA</t>
        </is>
      </c>
      <c r="B17" s="60" t="inlineStr">
        <is>
          <t>$</t>
        </is>
      </c>
      <c r="C17" s="61">
        <f>C9-C15</f>
        <v/>
      </c>
      <c r="D17" s="61">
        <f>D9-D15</f>
        <v/>
      </c>
      <c r="E17" s="61">
        <f>E9-E15</f>
        <v/>
      </c>
      <c r="F17" s="61">
        <f>F9-F15</f>
        <v/>
      </c>
      <c r="G17" s="61">
        <f>G9-G15</f>
        <v/>
      </c>
      <c r="H17" s="61">
        <f>H9-H15</f>
        <v/>
      </c>
      <c r="I17" s="61">
        <f>I9-I15</f>
        <v/>
      </c>
      <c r="J17" s="61">
        <f>J9-J15</f>
        <v/>
      </c>
      <c r="K17" s="61">
        <f>K9-K15</f>
        <v/>
      </c>
      <c r="L17" s="61">
        <f>L9-L15</f>
        <v/>
      </c>
      <c r="M17" s="61">
        <f>M9-M15</f>
        <v/>
      </c>
      <c r="N17" s="61">
        <f>N9-N15</f>
        <v/>
      </c>
      <c r="O17" s="61">
        <f>O9-O15</f>
        <v/>
      </c>
      <c r="P17" s="61">
        <f>P9-P15</f>
        <v/>
      </c>
      <c r="Q17" s="61">
        <f>Q9-Q15</f>
        <v/>
      </c>
      <c r="R17" s="61">
        <f>R9-R15</f>
        <v/>
      </c>
      <c r="S17" s="61">
        <f>S9-S15</f>
        <v/>
      </c>
      <c r="T17" s="61">
        <f>T9-T15</f>
        <v/>
      </c>
      <c r="U17" s="61">
        <f>U9-U15</f>
        <v/>
      </c>
      <c r="V17" s="61">
        <f>V9-V15</f>
        <v/>
      </c>
      <c r="W17" s="61">
        <f>W9-W15</f>
        <v/>
      </c>
      <c r="X17" s="61">
        <f>X9-X15</f>
        <v/>
      </c>
      <c r="Y17" s="61">
        <f>Y9-Y15</f>
        <v/>
      </c>
      <c r="Z17" s="61">
        <f>Z9-Z15</f>
        <v/>
      </c>
      <c r="AA17" s="61">
        <f>AA9-AA15</f>
        <v/>
      </c>
      <c r="AB17" s="61">
        <f>AB9-AB15</f>
        <v/>
      </c>
      <c r="AC17" s="61">
        <f>AC9-AC15</f>
        <v/>
      </c>
      <c r="AD17" s="61">
        <f>AD9-AD15</f>
        <v/>
      </c>
      <c r="AE17" s="61">
        <f>AE9-AE15</f>
        <v/>
      </c>
      <c r="AF17" s="61">
        <f>AF9-AF15</f>
        <v/>
      </c>
      <c r="AG17" s="61">
        <f>AG9-AG15</f>
        <v/>
      </c>
      <c r="AH17" s="61">
        <f>AH9-AH15</f>
        <v/>
      </c>
      <c r="AI17" s="61">
        <f>AI9-AI15</f>
        <v/>
      </c>
      <c r="AJ17" s="61">
        <f>AJ9-AJ15</f>
        <v/>
      </c>
      <c r="AK17" s="61">
        <f>AK9-AK15</f>
        <v/>
      </c>
      <c r="AL17" s="61">
        <f>AL9-AL15</f>
        <v/>
      </c>
      <c r="AN17" s="62">
        <f>SUM(C17:N17)</f>
        <v/>
      </c>
      <c r="AO17" s="62">
        <f>SUM(O17:Z17)</f>
        <v/>
      </c>
      <c r="AP17" s="62">
        <f>SUM(AA17:AL17)</f>
        <v/>
      </c>
    </row>
    <row r="18">
      <c r="A18" s="63" t="inlineStr">
        <is>
          <t>EBITDA margin</t>
        </is>
      </c>
      <c r="B18" s="34" t="inlineStr">
        <is>
          <t>%</t>
        </is>
      </c>
      <c r="C18" s="70">
        <f>IFERROR(C17/C7,0)</f>
        <v/>
      </c>
      <c r="D18" s="70">
        <f>IFERROR(D17/D7,0)</f>
        <v/>
      </c>
      <c r="E18" s="70">
        <f>IFERROR(E17/E7,0)</f>
        <v/>
      </c>
      <c r="F18" s="70">
        <f>IFERROR(F17/F7,0)</f>
        <v/>
      </c>
      <c r="G18" s="70">
        <f>IFERROR(G17/G7,0)</f>
        <v/>
      </c>
      <c r="H18" s="70">
        <f>IFERROR(H17/H7,0)</f>
        <v/>
      </c>
      <c r="I18" s="70">
        <f>IFERROR(I17/I7,0)</f>
        <v/>
      </c>
      <c r="J18" s="70">
        <f>IFERROR(J17/J7,0)</f>
        <v/>
      </c>
      <c r="K18" s="70">
        <f>IFERROR(K17/K7,0)</f>
        <v/>
      </c>
      <c r="L18" s="70">
        <f>IFERROR(L17/L7,0)</f>
        <v/>
      </c>
      <c r="M18" s="70">
        <f>IFERROR(M17/M7,0)</f>
        <v/>
      </c>
      <c r="N18" s="70">
        <f>IFERROR(N17/N7,0)</f>
        <v/>
      </c>
      <c r="O18" s="70">
        <f>IFERROR(O17/O7,0)</f>
        <v/>
      </c>
      <c r="P18" s="70">
        <f>IFERROR(P17/P7,0)</f>
        <v/>
      </c>
      <c r="Q18" s="70">
        <f>IFERROR(Q17/Q7,0)</f>
        <v/>
      </c>
      <c r="R18" s="70">
        <f>IFERROR(R17/R7,0)</f>
        <v/>
      </c>
      <c r="S18" s="70">
        <f>IFERROR(S17/S7,0)</f>
        <v/>
      </c>
      <c r="T18" s="70">
        <f>IFERROR(T17/T7,0)</f>
        <v/>
      </c>
      <c r="U18" s="70">
        <f>IFERROR(U17/U7,0)</f>
        <v/>
      </c>
      <c r="V18" s="70">
        <f>IFERROR(V17/V7,0)</f>
        <v/>
      </c>
      <c r="W18" s="70">
        <f>IFERROR(W17/W7,0)</f>
        <v/>
      </c>
      <c r="X18" s="70">
        <f>IFERROR(X17/X7,0)</f>
        <v/>
      </c>
      <c r="Y18" s="70">
        <f>IFERROR(Y17/Y7,0)</f>
        <v/>
      </c>
      <c r="Z18" s="70">
        <f>IFERROR(Z17/Z7,0)</f>
        <v/>
      </c>
      <c r="AA18" s="70">
        <f>IFERROR(AA17/AA7,0)</f>
        <v/>
      </c>
      <c r="AB18" s="70">
        <f>IFERROR(AB17/AB7,0)</f>
        <v/>
      </c>
      <c r="AC18" s="70">
        <f>IFERROR(AC17/AC7,0)</f>
        <v/>
      </c>
      <c r="AD18" s="70">
        <f>IFERROR(AD17/AD7,0)</f>
        <v/>
      </c>
      <c r="AE18" s="70">
        <f>IFERROR(AE17/AE7,0)</f>
        <v/>
      </c>
      <c r="AF18" s="70">
        <f>IFERROR(AF17/AF7,0)</f>
        <v/>
      </c>
      <c r="AG18" s="70">
        <f>IFERROR(AG17/AG7,0)</f>
        <v/>
      </c>
      <c r="AH18" s="70">
        <f>IFERROR(AH17/AH7,0)</f>
        <v/>
      </c>
      <c r="AI18" s="70">
        <f>IFERROR(AI17/AI7,0)</f>
        <v/>
      </c>
      <c r="AJ18" s="70">
        <f>IFERROR(AJ17/AJ7,0)</f>
        <v/>
      </c>
      <c r="AK18" s="70">
        <f>IFERROR(AK17/AK7,0)</f>
        <v/>
      </c>
      <c r="AL18" s="70">
        <f>IFERROR(AL17/AL7,0)</f>
        <v/>
      </c>
      <c r="AN18" s="70">
        <f>IFERROR(AN17/AN7,0)</f>
        <v/>
      </c>
      <c r="AO18" s="70">
        <f>IFERROR(AO17/AO7,0)</f>
        <v/>
      </c>
      <c r="AP18" s="70">
        <f>IFERROR(AP17/AP7,0)</f>
        <v/>
      </c>
    </row>
    <row r="19">
      <c r="A19" s="33" t="inlineStr">
        <is>
          <t>Depreciation and amortisation</t>
        </is>
      </c>
      <c r="B19" s="34" t="inlineStr">
        <is>
          <t>$</t>
        </is>
      </c>
      <c r="C19" s="67">
        <f>'Operating Expenses'!C37</f>
        <v/>
      </c>
      <c r="D19" s="67">
        <f>'Operating Expenses'!D37</f>
        <v/>
      </c>
      <c r="E19" s="67">
        <f>'Operating Expenses'!E37</f>
        <v/>
      </c>
      <c r="F19" s="67">
        <f>'Operating Expenses'!F37</f>
        <v/>
      </c>
      <c r="G19" s="67">
        <f>'Operating Expenses'!G37</f>
        <v/>
      </c>
      <c r="H19" s="67">
        <f>'Operating Expenses'!H37</f>
        <v/>
      </c>
      <c r="I19" s="67">
        <f>'Operating Expenses'!I37</f>
        <v/>
      </c>
      <c r="J19" s="67">
        <f>'Operating Expenses'!J37</f>
        <v/>
      </c>
      <c r="K19" s="67">
        <f>'Operating Expenses'!K37</f>
        <v/>
      </c>
      <c r="L19" s="67">
        <f>'Operating Expenses'!L37</f>
        <v/>
      </c>
      <c r="M19" s="67">
        <f>'Operating Expenses'!M37</f>
        <v/>
      </c>
      <c r="N19" s="67">
        <f>'Operating Expenses'!N37</f>
        <v/>
      </c>
      <c r="O19" s="67">
        <f>'Operating Expenses'!O37</f>
        <v/>
      </c>
      <c r="P19" s="67">
        <f>'Operating Expenses'!P37</f>
        <v/>
      </c>
      <c r="Q19" s="67">
        <f>'Operating Expenses'!Q37</f>
        <v/>
      </c>
      <c r="R19" s="67">
        <f>'Operating Expenses'!R37</f>
        <v/>
      </c>
      <c r="S19" s="67">
        <f>'Operating Expenses'!S37</f>
        <v/>
      </c>
      <c r="T19" s="67">
        <f>'Operating Expenses'!T37</f>
        <v/>
      </c>
      <c r="U19" s="67">
        <f>'Operating Expenses'!U37</f>
        <v/>
      </c>
      <c r="V19" s="67">
        <f>'Operating Expenses'!V37</f>
        <v/>
      </c>
      <c r="W19" s="67">
        <f>'Operating Expenses'!W37</f>
        <v/>
      </c>
      <c r="X19" s="67">
        <f>'Operating Expenses'!X37</f>
        <v/>
      </c>
      <c r="Y19" s="67">
        <f>'Operating Expenses'!Y37</f>
        <v/>
      </c>
      <c r="Z19" s="67">
        <f>'Operating Expenses'!Z37</f>
        <v/>
      </c>
      <c r="AA19" s="67">
        <f>'Operating Expenses'!AA37</f>
        <v/>
      </c>
      <c r="AB19" s="67">
        <f>'Operating Expenses'!AB37</f>
        <v/>
      </c>
      <c r="AC19" s="67">
        <f>'Operating Expenses'!AC37</f>
        <v/>
      </c>
      <c r="AD19" s="67">
        <f>'Operating Expenses'!AD37</f>
        <v/>
      </c>
      <c r="AE19" s="67">
        <f>'Operating Expenses'!AE37</f>
        <v/>
      </c>
      <c r="AF19" s="67">
        <f>'Operating Expenses'!AF37</f>
        <v/>
      </c>
      <c r="AG19" s="67">
        <f>'Operating Expenses'!AG37</f>
        <v/>
      </c>
      <c r="AH19" s="67">
        <f>'Operating Expenses'!AH37</f>
        <v/>
      </c>
      <c r="AI19" s="67">
        <f>'Operating Expenses'!AI37</f>
        <v/>
      </c>
      <c r="AJ19" s="67">
        <f>'Operating Expenses'!AJ37</f>
        <v/>
      </c>
      <c r="AK19" s="67">
        <f>'Operating Expenses'!AK37</f>
        <v/>
      </c>
      <c r="AL19" s="67">
        <f>'Operating Expenses'!AL37</f>
        <v/>
      </c>
      <c r="AN19" s="58">
        <f>SUM(C19:N19)</f>
        <v/>
      </c>
      <c r="AO19" s="58">
        <f>SUM(O19:Z19)</f>
        <v/>
      </c>
      <c r="AP19" s="58">
        <f>SUM(AA19:AL19)</f>
        <v/>
      </c>
    </row>
    <row r="20">
      <c r="A20" s="68" t="inlineStr">
        <is>
          <t>EBIT</t>
        </is>
      </c>
      <c r="B20" s="60" t="inlineStr">
        <is>
          <t>$</t>
        </is>
      </c>
      <c r="C20" s="61">
        <f>C17-C19</f>
        <v/>
      </c>
      <c r="D20" s="61">
        <f>D17-D19</f>
        <v/>
      </c>
      <c r="E20" s="61">
        <f>E17-E19</f>
        <v/>
      </c>
      <c r="F20" s="61">
        <f>F17-F19</f>
        <v/>
      </c>
      <c r="G20" s="61">
        <f>G17-G19</f>
        <v/>
      </c>
      <c r="H20" s="61">
        <f>H17-H19</f>
        <v/>
      </c>
      <c r="I20" s="61">
        <f>I17-I19</f>
        <v/>
      </c>
      <c r="J20" s="61">
        <f>J17-J19</f>
        <v/>
      </c>
      <c r="K20" s="61">
        <f>K17-K19</f>
        <v/>
      </c>
      <c r="L20" s="61">
        <f>L17-L19</f>
        <v/>
      </c>
      <c r="M20" s="61">
        <f>M17-M19</f>
        <v/>
      </c>
      <c r="N20" s="61">
        <f>N17-N19</f>
        <v/>
      </c>
      <c r="O20" s="61">
        <f>O17-O19</f>
        <v/>
      </c>
      <c r="P20" s="61">
        <f>P17-P19</f>
        <v/>
      </c>
      <c r="Q20" s="61">
        <f>Q17-Q19</f>
        <v/>
      </c>
      <c r="R20" s="61">
        <f>R17-R19</f>
        <v/>
      </c>
      <c r="S20" s="61">
        <f>S17-S19</f>
        <v/>
      </c>
      <c r="T20" s="61">
        <f>T17-T19</f>
        <v/>
      </c>
      <c r="U20" s="61">
        <f>U17-U19</f>
        <v/>
      </c>
      <c r="V20" s="61">
        <f>V17-V19</f>
        <v/>
      </c>
      <c r="W20" s="61">
        <f>W17-W19</f>
        <v/>
      </c>
      <c r="X20" s="61">
        <f>X17-X19</f>
        <v/>
      </c>
      <c r="Y20" s="61">
        <f>Y17-Y19</f>
        <v/>
      </c>
      <c r="Z20" s="61">
        <f>Z17-Z19</f>
        <v/>
      </c>
      <c r="AA20" s="61">
        <f>AA17-AA19</f>
        <v/>
      </c>
      <c r="AB20" s="61">
        <f>AB17-AB19</f>
        <v/>
      </c>
      <c r="AC20" s="61">
        <f>AC17-AC19</f>
        <v/>
      </c>
      <c r="AD20" s="61">
        <f>AD17-AD19</f>
        <v/>
      </c>
      <c r="AE20" s="61">
        <f>AE17-AE19</f>
        <v/>
      </c>
      <c r="AF20" s="61">
        <f>AF17-AF19</f>
        <v/>
      </c>
      <c r="AG20" s="61">
        <f>AG17-AG19</f>
        <v/>
      </c>
      <c r="AH20" s="61">
        <f>AH17-AH19</f>
        <v/>
      </c>
      <c r="AI20" s="61">
        <f>AI17-AI19</f>
        <v/>
      </c>
      <c r="AJ20" s="61">
        <f>AJ17-AJ19</f>
        <v/>
      </c>
      <c r="AK20" s="61">
        <f>AK17-AK19</f>
        <v/>
      </c>
      <c r="AL20" s="61">
        <f>AL17-AL19</f>
        <v/>
      </c>
      <c r="AN20" s="62">
        <f>SUM(C20:N20)</f>
        <v/>
      </c>
      <c r="AO20" s="62">
        <f>SUM(O20:Z20)</f>
        <v/>
      </c>
      <c r="AP20" s="62">
        <f>SUM(AA20:AL20)</f>
        <v/>
      </c>
    </row>
    <row r="22">
      <c r="A22" s="33" t="inlineStr">
        <is>
          <t>Pre-tax income (no debt in V1)</t>
        </is>
      </c>
      <c r="B22" s="34" t="inlineStr">
        <is>
          <t>$</t>
        </is>
      </c>
      <c r="C22" s="58">
        <f>C20</f>
        <v/>
      </c>
      <c r="D22" s="58">
        <f>D20</f>
        <v/>
      </c>
      <c r="E22" s="58">
        <f>E20</f>
        <v/>
      </c>
      <c r="F22" s="58">
        <f>F20</f>
        <v/>
      </c>
      <c r="G22" s="58">
        <f>G20</f>
        <v/>
      </c>
      <c r="H22" s="58">
        <f>H20</f>
        <v/>
      </c>
      <c r="I22" s="58">
        <f>I20</f>
        <v/>
      </c>
      <c r="J22" s="58">
        <f>J20</f>
        <v/>
      </c>
      <c r="K22" s="58">
        <f>K20</f>
        <v/>
      </c>
      <c r="L22" s="58">
        <f>L20</f>
        <v/>
      </c>
      <c r="M22" s="58">
        <f>M20</f>
        <v/>
      </c>
      <c r="N22" s="58">
        <f>N20</f>
        <v/>
      </c>
      <c r="O22" s="58">
        <f>O20</f>
        <v/>
      </c>
      <c r="P22" s="58">
        <f>P20</f>
        <v/>
      </c>
      <c r="Q22" s="58">
        <f>Q20</f>
        <v/>
      </c>
      <c r="R22" s="58">
        <f>R20</f>
        <v/>
      </c>
      <c r="S22" s="58">
        <f>S20</f>
        <v/>
      </c>
      <c r="T22" s="58">
        <f>T20</f>
        <v/>
      </c>
      <c r="U22" s="58">
        <f>U20</f>
        <v/>
      </c>
      <c r="V22" s="58">
        <f>V20</f>
        <v/>
      </c>
      <c r="W22" s="58">
        <f>W20</f>
        <v/>
      </c>
      <c r="X22" s="58">
        <f>X20</f>
        <v/>
      </c>
      <c r="Y22" s="58">
        <f>Y20</f>
        <v/>
      </c>
      <c r="Z22" s="58">
        <f>Z20</f>
        <v/>
      </c>
      <c r="AA22" s="58">
        <f>AA20</f>
        <v/>
      </c>
      <c r="AB22" s="58">
        <f>AB20</f>
        <v/>
      </c>
      <c r="AC22" s="58">
        <f>AC20</f>
        <v/>
      </c>
      <c r="AD22" s="58">
        <f>AD20</f>
        <v/>
      </c>
      <c r="AE22" s="58">
        <f>AE20</f>
        <v/>
      </c>
      <c r="AF22" s="58">
        <f>AF20</f>
        <v/>
      </c>
      <c r="AG22" s="58">
        <f>AG20</f>
        <v/>
      </c>
      <c r="AH22" s="58">
        <f>AH20</f>
        <v/>
      </c>
      <c r="AI22" s="58">
        <f>AI20</f>
        <v/>
      </c>
      <c r="AJ22" s="58">
        <f>AJ20</f>
        <v/>
      </c>
      <c r="AK22" s="58">
        <f>AK20</f>
        <v/>
      </c>
      <c r="AL22" s="58">
        <f>AL20</f>
        <v/>
      </c>
      <c r="AN22" s="58">
        <f>SUM(C22:N22)</f>
        <v/>
      </c>
      <c r="AO22" s="58">
        <f>SUM(O22:Z22)</f>
        <v/>
      </c>
      <c r="AP22" s="58">
        <f>SUM(AA22:AL22)</f>
        <v/>
      </c>
    </row>
    <row r="23">
      <c r="A23" s="63" t="inlineStr">
        <is>
          <t>memo: cumulative pre-tax income</t>
        </is>
      </c>
      <c r="B23" s="34" t="inlineStr">
        <is>
          <t>$</t>
        </is>
      </c>
      <c r="C23" s="71">
        <f>C22</f>
        <v/>
      </c>
      <c r="D23" s="71">
        <f>C23+D22</f>
        <v/>
      </c>
      <c r="E23" s="71">
        <f>D23+E22</f>
        <v/>
      </c>
      <c r="F23" s="71">
        <f>E23+F22</f>
        <v/>
      </c>
      <c r="G23" s="71">
        <f>F23+G22</f>
        <v/>
      </c>
      <c r="H23" s="71">
        <f>G23+H22</f>
        <v/>
      </c>
      <c r="I23" s="71">
        <f>H23+I22</f>
        <v/>
      </c>
      <c r="J23" s="71">
        <f>I23+J22</f>
        <v/>
      </c>
      <c r="K23" s="71">
        <f>J23+K22</f>
        <v/>
      </c>
      <c r="L23" s="71">
        <f>K23+L22</f>
        <v/>
      </c>
      <c r="M23" s="71">
        <f>L23+M22</f>
        <v/>
      </c>
      <c r="N23" s="71">
        <f>M23+N22</f>
        <v/>
      </c>
      <c r="O23" s="71">
        <f>N23+O22</f>
        <v/>
      </c>
      <c r="P23" s="71">
        <f>O23+P22</f>
        <v/>
      </c>
      <c r="Q23" s="71">
        <f>P23+Q22</f>
        <v/>
      </c>
      <c r="R23" s="71">
        <f>Q23+R22</f>
        <v/>
      </c>
      <c r="S23" s="71">
        <f>R23+S22</f>
        <v/>
      </c>
      <c r="T23" s="71">
        <f>S23+T22</f>
        <v/>
      </c>
      <c r="U23" s="71">
        <f>T23+U22</f>
        <v/>
      </c>
      <c r="V23" s="71">
        <f>U23+V22</f>
        <v/>
      </c>
      <c r="W23" s="71">
        <f>V23+W22</f>
        <v/>
      </c>
      <c r="X23" s="71">
        <f>W23+X22</f>
        <v/>
      </c>
      <c r="Y23" s="71">
        <f>X23+Y22</f>
        <v/>
      </c>
      <c r="Z23" s="71">
        <f>Y23+Z22</f>
        <v/>
      </c>
      <c r="AA23" s="71">
        <f>Z23+AA22</f>
        <v/>
      </c>
      <c r="AB23" s="71">
        <f>AA23+AB22</f>
        <v/>
      </c>
      <c r="AC23" s="71">
        <f>AB23+AC22</f>
        <v/>
      </c>
      <c r="AD23" s="71">
        <f>AC23+AD22</f>
        <v/>
      </c>
      <c r="AE23" s="71">
        <f>AD23+AE22</f>
        <v/>
      </c>
      <c r="AF23" s="71">
        <f>AE23+AF22</f>
        <v/>
      </c>
      <c r="AG23" s="71">
        <f>AF23+AG22</f>
        <v/>
      </c>
      <c r="AH23" s="71">
        <f>AG23+AH22</f>
        <v/>
      </c>
      <c r="AI23" s="71">
        <f>AH23+AI22</f>
        <v/>
      </c>
      <c r="AJ23" s="71">
        <f>AI23+AJ22</f>
        <v/>
      </c>
      <c r="AK23" s="71">
        <f>AJ23+AK22</f>
        <v/>
      </c>
      <c r="AL23" s="71">
        <f>AK23+AL22</f>
        <v/>
      </c>
    </row>
    <row r="24">
      <c r="A24" s="63" t="inlineStr">
        <is>
          <t>memo: cumulative tax at statutory rate</t>
        </is>
      </c>
      <c r="B24" s="34" t="inlineStr">
        <is>
          <t>$</t>
        </is>
      </c>
      <c r="C24" s="71">
        <f>A_TaxRate*MAX(0,C23)</f>
        <v/>
      </c>
      <c r="D24" s="71">
        <f>A_TaxRate*MAX(0,D23)</f>
        <v/>
      </c>
      <c r="E24" s="71">
        <f>A_TaxRate*MAX(0,E23)</f>
        <v/>
      </c>
      <c r="F24" s="71">
        <f>A_TaxRate*MAX(0,F23)</f>
        <v/>
      </c>
      <c r="G24" s="71">
        <f>A_TaxRate*MAX(0,G23)</f>
        <v/>
      </c>
      <c r="H24" s="71">
        <f>A_TaxRate*MAX(0,H23)</f>
        <v/>
      </c>
      <c r="I24" s="71">
        <f>A_TaxRate*MAX(0,I23)</f>
        <v/>
      </c>
      <c r="J24" s="71">
        <f>A_TaxRate*MAX(0,J23)</f>
        <v/>
      </c>
      <c r="K24" s="71">
        <f>A_TaxRate*MAX(0,K23)</f>
        <v/>
      </c>
      <c r="L24" s="71">
        <f>A_TaxRate*MAX(0,L23)</f>
        <v/>
      </c>
      <c r="M24" s="71">
        <f>A_TaxRate*MAX(0,M23)</f>
        <v/>
      </c>
      <c r="N24" s="71">
        <f>A_TaxRate*MAX(0,N23)</f>
        <v/>
      </c>
      <c r="O24" s="71">
        <f>A_TaxRate*MAX(0,O23)</f>
        <v/>
      </c>
      <c r="P24" s="71">
        <f>A_TaxRate*MAX(0,P23)</f>
        <v/>
      </c>
      <c r="Q24" s="71">
        <f>A_TaxRate*MAX(0,Q23)</f>
        <v/>
      </c>
      <c r="R24" s="71">
        <f>A_TaxRate*MAX(0,R23)</f>
        <v/>
      </c>
      <c r="S24" s="71">
        <f>A_TaxRate*MAX(0,S23)</f>
        <v/>
      </c>
      <c r="T24" s="71">
        <f>A_TaxRate*MAX(0,T23)</f>
        <v/>
      </c>
      <c r="U24" s="71">
        <f>A_TaxRate*MAX(0,U23)</f>
        <v/>
      </c>
      <c r="V24" s="71">
        <f>A_TaxRate*MAX(0,V23)</f>
        <v/>
      </c>
      <c r="W24" s="71">
        <f>A_TaxRate*MAX(0,W23)</f>
        <v/>
      </c>
      <c r="X24" s="71">
        <f>A_TaxRate*MAX(0,X23)</f>
        <v/>
      </c>
      <c r="Y24" s="71">
        <f>A_TaxRate*MAX(0,Y23)</f>
        <v/>
      </c>
      <c r="Z24" s="71">
        <f>A_TaxRate*MAX(0,Z23)</f>
        <v/>
      </c>
      <c r="AA24" s="71">
        <f>A_TaxRate*MAX(0,AA23)</f>
        <v/>
      </c>
      <c r="AB24" s="71">
        <f>A_TaxRate*MAX(0,AB23)</f>
        <v/>
      </c>
      <c r="AC24" s="71">
        <f>A_TaxRate*MAX(0,AC23)</f>
        <v/>
      </c>
      <c r="AD24" s="71">
        <f>A_TaxRate*MAX(0,AD23)</f>
        <v/>
      </c>
      <c r="AE24" s="71">
        <f>A_TaxRate*MAX(0,AE23)</f>
        <v/>
      </c>
      <c r="AF24" s="71">
        <f>A_TaxRate*MAX(0,AF23)</f>
        <v/>
      </c>
      <c r="AG24" s="71">
        <f>A_TaxRate*MAX(0,AG23)</f>
        <v/>
      </c>
      <c r="AH24" s="71">
        <f>A_TaxRate*MAX(0,AH23)</f>
        <v/>
      </c>
      <c r="AI24" s="71">
        <f>A_TaxRate*MAX(0,AI23)</f>
        <v/>
      </c>
      <c r="AJ24" s="71">
        <f>A_TaxRate*MAX(0,AJ23)</f>
        <v/>
      </c>
      <c r="AK24" s="71">
        <f>A_TaxRate*MAX(0,AK23)</f>
        <v/>
      </c>
      <c r="AL24" s="71">
        <f>A_TaxRate*MAX(0,AL23)</f>
        <v/>
      </c>
    </row>
    <row r="25">
      <c r="A25" s="33" t="inlineStr">
        <is>
          <t>Tax charge (NOL carryforward applied)</t>
        </is>
      </c>
      <c r="B25" s="34" t="inlineStr">
        <is>
          <t>$</t>
        </is>
      </c>
      <c r="C25" s="58">
        <f>C24</f>
        <v/>
      </c>
      <c r="D25" s="58">
        <f>MAX(0,D24-C24)</f>
        <v/>
      </c>
      <c r="E25" s="58">
        <f>MAX(0,E24-D24)</f>
        <v/>
      </c>
      <c r="F25" s="58">
        <f>MAX(0,F24-E24)</f>
        <v/>
      </c>
      <c r="G25" s="58">
        <f>MAX(0,G24-F24)</f>
        <v/>
      </c>
      <c r="H25" s="58">
        <f>MAX(0,H24-G24)</f>
        <v/>
      </c>
      <c r="I25" s="58">
        <f>MAX(0,I24-H24)</f>
        <v/>
      </c>
      <c r="J25" s="58">
        <f>MAX(0,J24-I24)</f>
        <v/>
      </c>
      <c r="K25" s="58">
        <f>MAX(0,K24-J24)</f>
        <v/>
      </c>
      <c r="L25" s="58">
        <f>MAX(0,L24-K24)</f>
        <v/>
      </c>
      <c r="M25" s="58">
        <f>MAX(0,M24-L24)</f>
        <v/>
      </c>
      <c r="N25" s="58">
        <f>MAX(0,N24-M24)</f>
        <v/>
      </c>
      <c r="O25" s="58">
        <f>MAX(0,O24-N24)</f>
        <v/>
      </c>
      <c r="P25" s="58">
        <f>MAX(0,P24-O24)</f>
        <v/>
      </c>
      <c r="Q25" s="58">
        <f>MAX(0,Q24-P24)</f>
        <v/>
      </c>
      <c r="R25" s="58">
        <f>MAX(0,R24-Q24)</f>
        <v/>
      </c>
      <c r="S25" s="58">
        <f>MAX(0,S24-R24)</f>
        <v/>
      </c>
      <c r="T25" s="58">
        <f>MAX(0,T24-S24)</f>
        <v/>
      </c>
      <c r="U25" s="58">
        <f>MAX(0,U24-T24)</f>
        <v/>
      </c>
      <c r="V25" s="58">
        <f>MAX(0,V24-U24)</f>
        <v/>
      </c>
      <c r="W25" s="58">
        <f>MAX(0,W24-V24)</f>
        <v/>
      </c>
      <c r="X25" s="58">
        <f>MAX(0,X24-W24)</f>
        <v/>
      </c>
      <c r="Y25" s="58">
        <f>MAX(0,Y24-X24)</f>
        <v/>
      </c>
      <c r="Z25" s="58">
        <f>MAX(0,Z24-Y24)</f>
        <v/>
      </c>
      <c r="AA25" s="58">
        <f>MAX(0,AA24-Z24)</f>
        <v/>
      </c>
      <c r="AB25" s="58">
        <f>MAX(0,AB24-AA24)</f>
        <v/>
      </c>
      <c r="AC25" s="58">
        <f>MAX(0,AC24-AB24)</f>
        <v/>
      </c>
      <c r="AD25" s="58">
        <f>MAX(0,AD24-AC24)</f>
        <v/>
      </c>
      <c r="AE25" s="58">
        <f>MAX(0,AE24-AD24)</f>
        <v/>
      </c>
      <c r="AF25" s="58">
        <f>MAX(0,AF24-AE24)</f>
        <v/>
      </c>
      <c r="AG25" s="58">
        <f>MAX(0,AG24-AF24)</f>
        <v/>
      </c>
      <c r="AH25" s="58">
        <f>MAX(0,AH24-AG24)</f>
        <v/>
      </c>
      <c r="AI25" s="58">
        <f>MAX(0,AI24-AH24)</f>
        <v/>
      </c>
      <c r="AJ25" s="58">
        <f>MAX(0,AJ24-AI24)</f>
        <v/>
      </c>
      <c r="AK25" s="58">
        <f>MAX(0,AK24-AJ24)</f>
        <v/>
      </c>
      <c r="AL25" s="58">
        <f>MAX(0,AL24-AK24)</f>
        <v/>
      </c>
      <c r="AN25" s="58">
        <f>SUM(C25:N25)</f>
        <v/>
      </c>
      <c r="AO25" s="58">
        <f>SUM(O25:Z25)</f>
        <v/>
      </c>
      <c r="AP25" s="58">
        <f>SUM(AA25:AL25)</f>
        <v/>
      </c>
    </row>
    <row r="26">
      <c r="A26" s="68" t="inlineStr">
        <is>
          <t>Net income</t>
        </is>
      </c>
      <c r="B26" s="60" t="inlineStr">
        <is>
          <t>$</t>
        </is>
      </c>
      <c r="C26" s="61">
        <f>C22-C25</f>
        <v/>
      </c>
      <c r="D26" s="61">
        <f>D22-D25</f>
        <v/>
      </c>
      <c r="E26" s="61">
        <f>E22-E25</f>
        <v/>
      </c>
      <c r="F26" s="61">
        <f>F22-F25</f>
        <v/>
      </c>
      <c r="G26" s="61">
        <f>G22-G25</f>
        <v/>
      </c>
      <c r="H26" s="61">
        <f>H22-H25</f>
        <v/>
      </c>
      <c r="I26" s="61">
        <f>I22-I25</f>
        <v/>
      </c>
      <c r="J26" s="61">
        <f>J22-J25</f>
        <v/>
      </c>
      <c r="K26" s="61">
        <f>K22-K25</f>
        <v/>
      </c>
      <c r="L26" s="61">
        <f>L22-L25</f>
        <v/>
      </c>
      <c r="M26" s="61">
        <f>M22-M25</f>
        <v/>
      </c>
      <c r="N26" s="61">
        <f>N22-N25</f>
        <v/>
      </c>
      <c r="O26" s="61">
        <f>O22-O25</f>
        <v/>
      </c>
      <c r="P26" s="61">
        <f>P22-P25</f>
        <v/>
      </c>
      <c r="Q26" s="61">
        <f>Q22-Q25</f>
        <v/>
      </c>
      <c r="R26" s="61">
        <f>R22-R25</f>
        <v/>
      </c>
      <c r="S26" s="61">
        <f>S22-S25</f>
        <v/>
      </c>
      <c r="T26" s="61">
        <f>T22-T25</f>
        <v/>
      </c>
      <c r="U26" s="61">
        <f>U22-U25</f>
        <v/>
      </c>
      <c r="V26" s="61">
        <f>V22-V25</f>
        <v/>
      </c>
      <c r="W26" s="61">
        <f>W22-W25</f>
        <v/>
      </c>
      <c r="X26" s="61">
        <f>X22-X25</f>
        <v/>
      </c>
      <c r="Y26" s="61">
        <f>Y22-Y25</f>
        <v/>
      </c>
      <c r="Z26" s="61">
        <f>Z22-Z25</f>
        <v/>
      </c>
      <c r="AA26" s="61">
        <f>AA22-AA25</f>
        <v/>
      </c>
      <c r="AB26" s="61">
        <f>AB22-AB25</f>
        <v/>
      </c>
      <c r="AC26" s="61">
        <f>AC22-AC25</f>
        <v/>
      </c>
      <c r="AD26" s="61">
        <f>AD22-AD25</f>
        <v/>
      </c>
      <c r="AE26" s="61">
        <f>AE22-AE25</f>
        <v/>
      </c>
      <c r="AF26" s="61">
        <f>AF22-AF25</f>
        <v/>
      </c>
      <c r="AG26" s="61">
        <f>AG22-AG25</f>
        <v/>
      </c>
      <c r="AH26" s="61">
        <f>AH22-AH25</f>
        <v/>
      </c>
      <c r="AI26" s="61">
        <f>AI22-AI25</f>
        <v/>
      </c>
      <c r="AJ26" s="61">
        <f>AJ22-AJ25</f>
        <v/>
      </c>
      <c r="AK26" s="61">
        <f>AK22-AK25</f>
        <v/>
      </c>
      <c r="AL26" s="61">
        <f>AL22-AL25</f>
        <v/>
      </c>
      <c r="AN26" s="62">
        <f>SUM(C26:N26)</f>
        <v/>
      </c>
      <c r="AO26" s="62">
        <f>SUM(O26:Z26)</f>
        <v/>
      </c>
      <c r="AP26" s="62">
        <f>SUM(AA26:AL26)</f>
        <v/>
      </c>
    </row>
    <row r="27">
      <c r="A27" s="63" t="inlineStr">
        <is>
          <t>Net margin</t>
        </is>
      </c>
      <c r="B27" s="34" t="inlineStr">
        <is>
          <t>%</t>
        </is>
      </c>
      <c r="C27" s="70">
        <f>IFERROR(C26/C7,0)</f>
        <v/>
      </c>
      <c r="D27" s="70">
        <f>IFERROR(D26/D7,0)</f>
        <v/>
      </c>
      <c r="E27" s="70">
        <f>IFERROR(E26/E7,0)</f>
        <v/>
      </c>
      <c r="F27" s="70">
        <f>IFERROR(F26/F7,0)</f>
        <v/>
      </c>
      <c r="G27" s="70">
        <f>IFERROR(G26/G7,0)</f>
        <v/>
      </c>
      <c r="H27" s="70">
        <f>IFERROR(H26/H7,0)</f>
        <v/>
      </c>
      <c r="I27" s="70">
        <f>IFERROR(I26/I7,0)</f>
        <v/>
      </c>
      <c r="J27" s="70">
        <f>IFERROR(J26/J7,0)</f>
        <v/>
      </c>
      <c r="K27" s="70">
        <f>IFERROR(K26/K7,0)</f>
        <v/>
      </c>
      <c r="L27" s="70">
        <f>IFERROR(L26/L7,0)</f>
        <v/>
      </c>
      <c r="M27" s="70">
        <f>IFERROR(M26/M7,0)</f>
        <v/>
      </c>
      <c r="N27" s="70">
        <f>IFERROR(N26/N7,0)</f>
        <v/>
      </c>
      <c r="O27" s="70">
        <f>IFERROR(O26/O7,0)</f>
        <v/>
      </c>
      <c r="P27" s="70">
        <f>IFERROR(P26/P7,0)</f>
        <v/>
      </c>
      <c r="Q27" s="70">
        <f>IFERROR(Q26/Q7,0)</f>
        <v/>
      </c>
      <c r="R27" s="70">
        <f>IFERROR(R26/R7,0)</f>
        <v/>
      </c>
      <c r="S27" s="70">
        <f>IFERROR(S26/S7,0)</f>
        <v/>
      </c>
      <c r="T27" s="70">
        <f>IFERROR(T26/T7,0)</f>
        <v/>
      </c>
      <c r="U27" s="70">
        <f>IFERROR(U26/U7,0)</f>
        <v/>
      </c>
      <c r="V27" s="70">
        <f>IFERROR(V26/V7,0)</f>
        <v/>
      </c>
      <c r="W27" s="70">
        <f>IFERROR(W26/W7,0)</f>
        <v/>
      </c>
      <c r="X27" s="70">
        <f>IFERROR(X26/X7,0)</f>
        <v/>
      </c>
      <c r="Y27" s="70">
        <f>IFERROR(Y26/Y7,0)</f>
        <v/>
      </c>
      <c r="Z27" s="70">
        <f>IFERROR(Z26/Z7,0)</f>
        <v/>
      </c>
      <c r="AA27" s="70">
        <f>IFERROR(AA26/AA7,0)</f>
        <v/>
      </c>
      <c r="AB27" s="70">
        <f>IFERROR(AB26/AB7,0)</f>
        <v/>
      </c>
      <c r="AC27" s="70">
        <f>IFERROR(AC26/AC7,0)</f>
        <v/>
      </c>
      <c r="AD27" s="70">
        <f>IFERROR(AD26/AD7,0)</f>
        <v/>
      </c>
      <c r="AE27" s="70">
        <f>IFERROR(AE26/AE7,0)</f>
        <v/>
      </c>
      <c r="AF27" s="70">
        <f>IFERROR(AF26/AF7,0)</f>
        <v/>
      </c>
      <c r="AG27" s="70">
        <f>IFERROR(AG26/AG7,0)</f>
        <v/>
      </c>
      <c r="AH27" s="70">
        <f>IFERROR(AH26/AH7,0)</f>
        <v/>
      </c>
      <c r="AI27" s="70">
        <f>IFERROR(AI26/AI7,0)</f>
        <v/>
      </c>
      <c r="AJ27" s="70">
        <f>IFERROR(AJ26/AJ7,0)</f>
        <v/>
      </c>
      <c r="AK27" s="70">
        <f>IFERROR(AK26/AK7,0)</f>
        <v/>
      </c>
      <c r="AL27" s="70">
        <f>IFERROR(AL26/AL7,0)</f>
        <v/>
      </c>
      <c r="AN27" s="70">
        <f>IFERROR(AN26/AN7,0)</f>
        <v/>
      </c>
      <c r="AO27" s="70">
        <f>IFERROR(AO26/AO7,0)</f>
        <v/>
      </c>
      <c r="AP27" s="70">
        <f>IFERROR(AP26/AP7,0)</f>
        <v/>
      </c>
    </row>
    <row r="29" ht="24" customHeight="1">
      <c r="A29" s="64" t="inlineStr">
        <is>
          <t>Tax: no charge until cumulative pre-tax income turns positive; early losses shelter later profits (simple NOL carryforward, no deferred tax asset in V1).</t>
        </is>
      </c>
    </row>
  </sheetData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Analytics&amp;RIncome Statement</oddHeader>
    <oddFooter>&amp;LFP&amp;&amp;A Planning Model v1.0&amp;CConfidential&amp;RPage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FF203040"/>
    <outlinePr summaryBelow="1" summaryRight="1"/>
    <pageSetUpPr fitToPage="1"/>
  </sheetPr>
  <dimension ref="A1:AP28"/>
  <sheetViews>
    <sheetView showGridLines="0" zoomScaleNormal="100" workbookViewId="0">
      <pane xSplit="2" ySplit="5" topLeftCell="O13" activePane="bottomRight" state="frozen"/>
      <selection pane="topRight" activeCell="C1" sqref="C1"/>
      <selection pane="bottomLeft" activeCell="A6" sqref="A6"/>
      <selection pane="bottomRight" activeCell="AN8" sqref="AN8"/>
    </sheetView>
  </sheetViews>
  <sheetFormatPr baseColWidth="8" defaultColWidth="8.6328125" defaultRowHeight="14.5"/>
  <cols>
    <col width="36" customWidth="1" min="1" max="1"/>
    <col width="9" customWidth="1" min="2" max="2"/>
    <col width="11.453125" customWidth="1" min="3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Cash Flow</t>
        </is>
      </c>
      <c r="B2" s="14" t="n"/>
      <c r="C2" s="14" t="n"/>
      <c r="D2" s="14" t="n"/>
      <c r="E2" s="17" t="inlineStr">
        <is>
          <t>indirect method; structured for V2 working capital and financing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</row>
    <row r="5">
      <c r="A5" s="54" t="inlineStr">
        <is>
          <t>Month</t>
        </is>
      </c>
      <c r="C5" s="55">
        <f>ModelStart</f>
        <v/>
      </c>
      <c r="D5" s="55">
        <f>EDATE(C5,1)</f>
        <v/>
      </c>
      <c r="E5" s="55">
        <f>EDATE(D5,1)</f>
        <v/>
      </c>
      <c r="F5" s="55">
        <f>EDATE(E5,1)</f>
        <v/>
      </c>
      <c r="G5" s="55">
        <f>EDATE(F5,1)</f>
        <v/>
      </c>
      <c r="H5" s="55">
        <f>EDATE(G5,1)</f>
        <v/>
      </c>
      <c r="I5" s="55">
        <f>EDATE(H5,1)</f>
        <v/>
      </c>
      <c r="J5" s="55">
        <f>EDATE(I5,1)</f>
        <v/>
      </c>
      <c r="K5" s="55">
        <f>EDATE(J5,1)</f>
        <v/>
      </c>
      <c r="L5" s="55">
        <f>EDATE(K5,1)</f>
        <v/>
      </c>
      <c r="M5" s="55">
        <f>EDATE(L5,1)</f>
        <v/>
      </c>
      <c r="N5" s="55">
        <f>EDATE(M5,1)</f>
        <v/>
      </c>
      <c r="O5" s="55">
        <f>EDATE(N5,1)</f>
        <v/>
      </c>
      <c r="P5" s="55">
        <f>EDATE(O5,1)</f>
        <v/>
      </c>
      <c r="Q5" s="55">
        <f>EDATE(P5,1)</f>
        <v/>
      </c>
      <c r="R5" s="55">
        <f>EDATE(Q5,1)</f>
        <v/>
      </c>
      <c r="S5" s="55">
        <f>EDATE(R5,1)</f>
        <v/>
      </c>
      <c r="T5" s="55">
        <f>EDATE(S5,1)</f>
        <v/>
      </c>
      <c r="U5" s="55">
        <f>EDATE(T5,1)</f>
        <v/>
      </c>
      <c r="V5" s="55">
        <f>EDATE(U5,1)</f>
        <v/>
      </c>
      <c r="W5" s="55">
        <f>EDATE(V5,1)</f>
        <v/>
      </c>
      <c r="X5" s="55">
        <f>EDATE(W5,1)</f>
        <v/>
      </c>
      <c r="Y5" s="55">
        <f>EDATE(X5,1)</f>
        <v/>
      </c>
      <c r="Z5" s="55">
        <f>EDATE(Y5,1)</f>
        <v/>
      </c>
      <c r="AA5" s="55">
        <f>EDATE(Z5,1)</f>
        <v/>
      </c>
      <c r="AB5" s="55">
        <f>EDATE(AA5,1)</f>
        <v/>
      </c>
      <c r="AC5" s="55">
        <f>EDATE(AB5,1)</f>
        <v/>
      </c>
      <c r="AD5" s="55">
        <f>EDATE(AC5,1)</f>
        <v/>
      </c>
      <c r="AE5" s="55">
        <f>EDATE(AD5,1)</f>
        <v/>
      </c>
      <c r="AF5" s="55">
        <f>EDATE(AE5,1)</f>
        <v/>
      </c>
      <c r="AG5" s="55">
        <f>EDATE(AF5,1)</f>
        <v/>
      </c>
      <c r="AH5" s="55">
        <f>EDATE(AG5,1)</f>
        <v/>
      </c>
      <c r="AI5" s="55">
        <f>EDATE(AH5,1)</f>
        <v/>
      </c>
      <c r="AJ5" s="55">
        <f>EDATE(AI5,1)</f>
        <v/>
      </c>
      <c r="AK5" s="55">
        <f>EDATE(AJ5,1)</f>
        <v/>
      </c>
      <c r="AL5" s="55">
        <f>EDATE(AK5,1)</f>
        <v/>
      </c>
      <c r="AN5" s="69" t="inlineStr">
        <is>
          <t>FY2026</t>
        </is>
      </c>
      <c r="AO5" s="69" t="inlineStr">
        <is>
          <t>FY2027</t>
        </is>
      </c>
      <c r="AP5" s="69" t="inlineStr">
        <is>
          <t>FY2028</t>
        </is>
      </c>
    </row>
    <row r="7">
      <c r="A7" s="31" t="inlineStr">
        <is>
          <t>OPERATING CASH FLOW</t>
        </is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  <c r="AB7" s="32" t="n"/>
      <c r="AC7" s="32" t="n"/>
      <c r="AD7" s="32" t="n"/>
      <c r="AE7" s="32" t="n"/>
      <c r="AF7" s="32" t="n"/>
      <c r="AG7" s="32" t="n"/>
      <c r="AH7" s="32" t="n"/>
      <c r="AI7" s="32" t="n"/>
      <c r="AJ7" s="32" t="n"/>
      <c r="AK7" s="32" t="n"/>
      <c r="AL7" s="32" t="n"/>
      <c r="AM7" s="32" t="n"/>
      <c r="AN7" s="32" t="n"/>
      <c r="AO7" s="32" t="n"/>
      <c r="AP7" s="32" t="n"/>
    </row>
    <row r="8">
      <c r="A8" s="33" t="inlineStr">
        <is>
          <t>Net income</t>
        </is>
      </c>
      <c r="B8" s="34" t="inlineStr">
        <is>
          <t>$</t>
        </is>
      </c>
      <c r="C8" s="67">
        <f>'Income Statement'!C26</f>
        <v/>
      </c>
      <c r="D8" s="67">
        <f>'Income Statement'!D26</f>
        <v/>
      </c>
      <c r="E8" s="67">
        <f>'Income Statement'!E26</f>
        <v/>
      </c>
      <c r="F8" s="67">
        <f>'Income Statement'!F26</f>
        <v/>
      </c>
      <c r="G8" s="67">
        <f>'Income Statement'!G26</f>
        <v/>
      </c>
      <c r="H8" s="67">
        <f>'Income Statement'!H26</f>
        <v/>
      </c>
      <c r="I8" s="67">
        <f>'Income Statement'!I26</f>
        <v/>
      </c>
      <c r="J8" s="67">
        <f>'Income Statement'!J26</f>
        <v/>
      </c>
      <c r="K8" s="67">
        <f>'Income Statement'!K26</f>
        <v/>
      </c>
      <c r="L8" s="67">
        <f>'Income Statement'!L26</f>
        <v/>
      </c>
      <c r="M8" s="67">
        <f>'Income Statement'!M26</f>
        <v/>
      </c>
      <c r="N8" s="67">
        <f>'Income Statement'!N26</f>
        <v/>
      </c>
      <c r="O8" s="67">
        <f>'Income Statement'!O26</f>
        <v/>
      </c>
      <c r="P8" s="67">
        <f>'Income Statement'!P26</f>
        <v/>
      </c>
      <c r="Q8" s="67">
        <f>'Income Statement'!Q26</f>
        <v/>
      </c>
      <c r="R8" s="67">
        <f>'Income Statement'!R26</f>
        <v/>
      </c>
      <c r="S8" s="67">
        <f>'Income Statement'!S26</f>
        <v/>
      </c>
      <c r="T8" s="67">
        <f>'Income Statement'!T26</f>
        <v/>
      </c>
      <c r="U8" s="67">
        <f>'Income Statement'!U26</f>
        <v/>
      </c>
      <c r="V8" s="67">
        <f>'Income Statement'!V26</f>
        <v/>
      </c>
      <c r="W8" s="67">
        <f>'Income Statement'!W26</f>
        <v/>
      </c>
      <c r="X8" s="67">
        <f>'Income Statement'!X26</f>
        <v/>
      </c>
      <c r="Y8" s="67">
        <f>'Income Statement'!Y26</f>
        <v/>
      </c>
      <c r="Z8" s="67">
        <f>'Income Statement'!Z26</f>
        <v/>
      </c>
      <c r="AA8" s="67">
        <f>'Income Statement'!AA26</f>
        <v/>
      </c>
      <c r="AB8" s="67">
        <f>'Income Statement'!AB26</f>
        <v/>
      </c>
      <c r="AC8" s="67">
        <f>'Income Statement'!AC26</f>
        <v/>
      </c>
      <c r="AD8" s="67">
        <f>'Income Statement'!AD26</f>
        <v/>
      </c>
      <c r="AE8" s="67">
        <f>'Income Statement'!AE26</f>
        <v/>
      </c>
      <c r="AF8" s="67">
        <f>'Income Statement'!AF26</f>
        <v/>
      </c>
      <c r="AG8" s="67">
        <f>'Income Statement'!AG26</f>
        <v/>
      </c>
      <c r="AH8" s="67">
        <f>'Income Statement'!AH26</f>
        <v/>
      </c>
      <c r="AI8" s="67">
        <f>'Income Statement'!AI26</f>
        <v/>
      </c>
      <c r="AJ8" s="67">
        <f>'Income Statement'!AJ26</f>
        <v/>
      </c>
      <c r="AK8" s="67">
        <f>'Income Statement'!AK26</f>
        <v/>
      </c>
      <c r="AL8" s="67">
        <f>'Income Statement'!AL26</f>
        <v/>
      </c>
      <c r="AN8" s="58">
        <f>SUM(C8:N8)</f>
        <v/>
      </c>
      <c r="AO8" s="58">
        <f>SUM(O8:Z8)</f>
        <v/>
      </c>
      <c r="AP8" s="58">
        <f>SUM(AA8:AL8)</f>
        <v/>
      </c>
    </row>
    <row r="9">
      <c r="A9" s="33" t="inlineStr">
        <is>
          <t>Add back: depreciation and amortisation</t>
        </is>
      </c>
      <c r="B9" s="34" t="inlineStr">
        <is>
          <t>$</t>
        </is>
      </c>
      <c r="C9" s="67">
        <f>'Income Statement'!C19</f>
        <v/>
      </c>
      <c r="D9" s="67">
        <f>'Income Statement'!D19</f>
        <v/>
      </c>
      <c r="E9" s="67">
        <f>'Income Statement'!E19</f>
        <v/>
      </c>
      <c r="F9" s="67">
        <f>'Income Statement'!F19</f>
        <v/>
      </c>
      <c r="G9" s="67">
        <f>'Income Statement'!G19</f>
        <v/>
      </c>
      <c r="H9" s="67">
        <f>'Income Statement'!H19</f>
        <v/>
      </c>
      <c r="I9" s="67">
        <f>'Income Statement'!I19</f>
        <v/>
      </c>
      <c r="J9" s="67">
        <f>'Income Statement'!J19</f>
        <v/>
      </c>
      <c r="K9" s="67">
        <f>'Income Statement'!K19</f>
        <v/>
      </c>
      <c r="L9" s="67">
        <f>'Income Statement'!L19</f>
        <v/>
      </c>
      <c r="M9" s="67">
        <f>'Income Statement'!M19</f>
        <v/>
      </c>
      <c r="N9" s="67">
        <f>'Income Statement'!N19</f>
        <v/>
      </c>
      <c r="O9" s="67">
        <f>'Income Statement'!O19</f>
        <v/>
      </c>
      <c r="P9" s="67">
        <f>'Income Statement'!P19</f>
        <v/>
      </c>
      <c r="Q9" s="67">
        <f>'Income Statement'!Q19</f>
        <v/>
      </c>
      <c r="R9" s="67">
        <f>'Income Statement'!R19</f>
        <v/>
      </c>
      <c r="S9" s="67">
        <f>'Income Statement'!S19</f>
        <v/>
      </c>
      <c r="T9" s="67">
        <f>'Income Statement'!T19</f>
        <v/>
      </c>
      <c r="U9" s="67">
        <f>'Income Statement'!U19</f>
        <v/>
      </c>
      <c r="V9" s="67">
        <f>'Income Statement'!V19</f>
        <v/>
      </c>
      <c r="W9" s="67">
        <f>'Income Statement'!W19</f>
        <v/>
      </c>
      <c r="X9" s="67">
        <f>'Income Statement'!X19</f>
        <v/>
      </c>
      <c r="Y9" s="67">
        <f>'Income Statement'!Y19</f>
        <v/>
      </c>
      <c r="Z9" s="67">
        <f>'Income Statement'!Z19</f>
        <v/>
      </c>
      <c r="AA9" s="67">
        <f>'Income Statement'!AA19</f>
        <v/>
      </c>
      <c r="AB9" s="67">
        <f>'Income Statement'!AB19</f>
        <v/>
      </c>
      <c r="AC9" s="67">
        <f>'Income Statement'!AC19</f>
        <v/>
      </c>
      <c r="AD9" s="67">
        <f>'Income Statement'!AD19</f>
        <v/>
      </c>
      <c r="AE9" s="67">
        <f>'Income Statement'!AE19</f>
        <v/>
      </c>
      <c r="AF9" s="67">
        <f>'Income Statement'!AF19</f>
        <v/>
      </c>
      <c r="AG9" s="67">
        <f>'Income Statement'!AG19</f>
        <v/>
      </c>
      <c r="AH9" s="67">
        <f>'Income Statement'!AH19</f>
        <v/>
      </c>
      <c r="AI9" s="67">
        <f>'Income Statement'!AI19</f>
        <v/>
      </c>
      <c r="AJ9" s="67">
        <f>'Income Statement'!AJ19</f>
        <v/>
      </c>
      <c r="AK9" s="67">
        <f>'Income Statement'!AK19</f>
        <v/>
      </c>
      <c r="AL9" s="67">
        <f>'Income Statement'!AL19</f>
        <v/>
      </c>
      <c r="AN9" s="58">
        <f>SUM(C9:N9)</f>
        <v/>
      </c>
      <c r="AO9" s="58">
        <f>SUM(O9:Z9)</f>
        <v/>
      </c>
      <c r="AP9" s="58">
        <f>SUM(AA9:AL9)</f>
        <v/>
      </c>
    </row>
    <row r="10">
      <c r="A10" s="33" t="inlineStr">
        <is>
          <t>Movement in deferred revenue</t>
        </is>
      </c>
      <c r="B10" s="34" t="inlineStr">
        <is>
          <t>$</t>
        </is>
      </c>
      <c r="C10" s="67">
        <f>'Revenue Model'!C52</f>
        <v/>
      </c>
      <c r="D10" s="67">
        <f>'Revenue Model'!D52</f>
        <v/>
      </c>
      <c r="E10" s="67">
        <f>'Revenue Model'!E52</f>
        <v/>
      </c>
      <c r="F10" s="67">
        <f>'Revenue Model'!F52</f>
        <v/>
      </c>
      <c r="G10" s="67">
        <f>'Revenue Model'!G52</f>
        <v/>
      </c>
      <c r="H10" s="67">
        <f>'Revenue Model'!H52</f>
        <v/>
      </c>
      <c r="I10" s="67">
        <f>'Revenue Model'!I52</f>
        <v/>
      </c>
      <c r="J10" s="67">
        <f>'Revenue Model'!J52</f>
        <v/>
      </c>
      <c r="K10" s="67">
        <f>'Revenue Model'!K52</f>
        <v/>
      </c>
      <c r="L10" s="67">
        <f>'Revenue Model'!L52</f>
        <v/>
      </c>
      <c r="M10" s="67">
        <f>'Revenue Model'!M52</f>
        <v/>
      </c>
      <c r="N10" s="67">
        <f>'Revenue Model'!N52</f>
        <v/>
      </c>
      <c r="O10" s="67">
        <f>'Revenue Model'!O52</f>
        <v/>
      </c>
      <c r="P10" s="67">
        <f>'Revenue Model'!P52</f>
        <v/>
      </c>
      <c r="Q10" s="67">
        <f>'Revenue Model'!Q52</f>
        <v/>
      </c>
      <c r="R10" s="67">
        <f>'Revenue Model'!R52</f>
        <v/>
      </c>
      <c r="S10" s="67">
        <f>'Revenue Model'!S52</f>
        <v/>
      </c>
      <c r="T10" s="67">
        <f>'Revenue Model'!T52</f>
        <v/>
      </c>
      <c r="U10" s="67">
        <f>'Revenue Model'!U52</f>
        <v/>
      </c>
      <c r="V10" s="67">
        <f>'Revenue Model'!V52</f>
        <v/>
      </c>
      <c r="W10" s="67">
        <f>'Revenue Model'!W52</f>
        <v/>
      </c>
      <c r="X10" s="67">
        <f>'Revenue Model'!X52</f>
        <v/>
      </c>
      <c r="Y10" s="67">
        <f>'Revenue Model'!Y52</f>
        <v/>
      </c>
      <c r="Z10" s="67">
        <f>'Revenue Model'!Z52</f>
        <v/>
      </c>
      <c r="AA10" s="67">
        <f>'Revenue Model'!AA52</f>
        <v/>
      </c>
      <c r="AB10" s="67">
        <f>'Revenue Model'!AB52</f>
        <v/>
      </c>
      <c r="AC10" s="67">
        <f>'Revenue Model'!AC52</f>
        <v/>
      </c>
      <c r="AD10" s="67">
        <f>'Revenue Model'!AD52</f>
        <v/>
      </c>
      <c r="AE10" s="67">
        <f>'Revenue Model'!AE52</f>
        <v/>
      </c>
      <c r="AF10" s="67">
        <f>'Revenue Model'!AF52</f>
        <v/>
      </c>
      <c r="AG10" s="67">
        <f>'Revenue Model'!AG52</f>
        <v/>
      </c>
      <c r="AH10" s="67">
        <f>'Revenue Model'!AH52</f>
        <v/>
      </c>
      <c r="AI10" s="67">
        <f>'Revenue Model'!AI52</f>
        <v/>
      </c>
      <c r="AJ10" s="67">
        <f>'Revenue Model'!AJ52</f>
        <v/>
      </c>
      <c r="AK10" s="67">
        <f>'Revenue Model'!AK52</f>
        <v/>
      </c>
      <c r="AL10" s="67">
        <f>'Revenue Model'!AL52</f>
        <v/>
      </c>
      <c r="AN10" s="58">
        <f>SUM(C10:N10)</f>
        <v/>
      </c>
      <c r="AO10" s="58">
        <f>SUM(O10:Z10)</f>
        <v/>
      </c>
      <c r="AP10" s="58">
        <f>SUM(AA10:AL10)</f>
        <v/>
      </c>
    </row>
    <row r="11">
      <c r="A11" s="72" t="inlineStr">
        <is>
          <t>Working capital movements (V2 bolt-on)</t>
        </is>
      </c>
    </row>
    <row r="12">
      <c r="A12" s="68" t="inlineStr">
        <is>
          <t>Operating cash flow</t>
        </is>
      </c>
      <c r="B12" s="60" t="inlineStr">
        <is>
          <t>$</t>
        </is>
      </c>
      <c r="C12" s="61">
        <f>C8+C9+C10</f>
        <v/>
      </c>
      <c r="D12" s="61">
        <f>D8+D9+D10</f>
        <v/>
      </c>
      <c r="E12" s="61">
        <f>E8+E9+E10</f>
        <v/>
      </c>
      <c r="F12" s="61">
        <f>F8+F9+F10</f>
        <v/>
      </c>
      <c r="G12" s="61">
        <f>G8+G9+G10</f>
        <v/>
      </c>
      <c r="H12" s="61">
        <f>H8+H9+H10</f>
        <v/>
      </c>
      <c r="I12" s="61">
        <f>I8+I9+I10</f>
        <v/>
      </c>
      <c r="J12" s="61">
        <f>J8+J9+J10</f>
        <v/>
      </c>
      <c r="K12" s="61">
        <f>K8+K9+K10</f>
        <v/>
      </c>
      <c r="L12" s="61">
        <f>L8+L9+L10</f>
        <v/>
      </c>
      <c r="M12" s="61">
        <f>M8+M9+M10</f>
        <v/>
      </c>
      <c r="N12" s="61">
        <f>N8+N9+N10</f>
        <v/>
      </c>
      <c r="O12" s="61">
        <f>O8+O9+O10</f>
        <v/>
      </c>
      <c r="P12" s="61">
        <f>P8+P9+P10</f>
        <v/>
      </c>
      <c r="Q12" s="61">
        <f>Q8+Q9+Q10</f>
        <v/>
      </c>
      <c r="R12" s="61">
        <f>R8+R9+R10</f>
        <v/>
      </c>
      <c r="S12" s="61">
        <f>S8+S9+S10</f>
        <v/>
      </c>
      <c r="T12" s="61">
        <f>T8+T9+T10</f>
        <v/>
      </c>
      <c r="U12" s="61">
        <f>U8+U9+U10</f>
        <v/>
      </c>
      <c r="V12" s="61">
        <f>V8+V9+V10</f>
        <v/>
      </c>
      <c r="W12" s="61">
        <f>W8+W9+W10</f>
        <v/>
      </c>
      <c r="X12" s="61">
        <f>X8+X9+X10</f>
        <v/>
      </c>
      <c r="Y12" s="61">
        <f>Y8+Y9+Y10</f>
        <v/>
      </c>
      <c r="Z12" s="61">
        <f>Z8+Z9+Z10</f>
        <v/>
      </c>
      <c r="AA12" s="61">
        <f>AA8+AA9+AA10</f>
        <v/>
      </c>
      <c r="AB12" s="61">
        <f>AB8+AB9+AB10</f>
        <v/>
      </c>
      <c r="AC12" s="61">
        <f>AC8+AC9+AC10</f>
        <v/>
      </c>
      <c r="AD12" s="61">
        <f>AD8+AD9+AD10</f>
        <v/>
      </c>
      <c r="AE12" s="61">
        <f>AE8+AE9+AE10</f>
        <v/>
      </c>
      <c r="AF12" s="61">
        <f>AF8+AF9+AF10</f>
        <v/>
      </c>
      <c r="AG12" s="61">
        <f>AG8+AG9+AG10</f>
        <v/>
      </c>
      <c r="AH12" s="61">
        <f>AH8+AH9+AH10</f>
        <v/>
      </c>
      <c r="AI12" s="61">
        <f>AI8+AI9+AI10</f>
        <v/>
      </c>
      <c r="AJ12" s="61">
        <f>AJ8+AJ9+AJ10</f>
        <v/>
      </c>
      <c r="AK12" s="61">
        <f>AK8+AK9+AK10</f>
        <v/>
      </c>
      <c r="AL12" s="61">
        <f>AL8+AL9+AL10</f>
        <v/>
      </c>
      <c r="AN12" s="62">
        <f>SUM(C12:N12)</f>
        <v/>
      </c>
      <c r="AO12" s="62">
        <f>SUM(O12:Z12)</f>
        <v/>
      </c>
      <c r="AP12" s="62">
        <f>SUM(AA12:AL12)</f>
        <v/>
      </c>
    </row>
    <row r="14">
      <c r="A14" s="31" t="inlineStr">
        <is>
          <t>INVESTING AND FINANCING</t>
        </is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</row>
    <row r="15">
      <c r="A15" s="33" t="inlineStr">
        <is>
          <t>Capex (placeholder)</t>
        </is>
      </c>
      <c r="B15" s="34" t="inlineStr">
        <is>
          <t>$</t>
        </is>
      </c>
      <c r="C15" s="67">
        <f>-'Operating Expenses'!C36</f>
        <v/>
      </c>
      <c r="D15" s="67">
        <f>-'Operating Expenses'!D36</f>
        <v/>
      </c>
      <c r="E15" s="67">
        <f>-'Operating Expenses'!E36</f>
        <v/>
      </c>
      <c r="F15" s="67">
        <f>-'Operating Expenses'!F36</f>
        <v/>
      </c>
      <c r="G15" s="67">
        <f>-'Operating Expenses'!G36</f>
        <v/>
      </c>
      <c r="H15" s="67">
        <f>-'Operating Expenses'!H36</f>
        <v/>
      </c>
      <c r="I15" s="67">
        <f>-'Operating Expenses'!I36</f>
        <v/>
      </c>
      <c r="J15" s="67">
        <f>-'Operating Expenses'!J36</f>
        <v/>
      </c>
      <c r="K15" s="67">
        <f>-'Operating Expenses'!K36</f>
        <v/>
      </c>
      <c r="L15" s="67">
        <f>-'Operating Expenses'!L36</f>
        <v/>
      </c>
      <c r="M15" s="67">
        <f>-'Operating Expenses'!M36</f>
        <v/>
      </c>
      <c r="N15" s="67">
        <f>-'Operating Expenses'!N36</f>
        <v/>
      </c>
      <c r="O15" s="67">
        <f>-'Operating Expenses'!O36</f>
        <v/>
      </c>
      <c r="P15" s="67">
        <f>-'Operating Expenses'!P36</f>
        <v/>
      </c>
      <c r="Q15" s="67">
        <f>-'Operating Expenses'!Q36</f>
        <v/>
      </c>
      <c r="R15" s="67">
        <f>-'Operating Expenses'!R36</f>
        <v/>
      </c>
      <c r="S15" s="67">
        <f>-'Operating Expenses'!S36</f>
        <v/>
      </c>
      <c r="T15" s="67">
        <f>-'Operating Expenses'!T36</f>
        <v/>
      </c>
      <c r="U15" s="67">
        <f>-'Operating Expenses'!U36</f>
        <v/>
      </c>
      <c r="V15" s="67">
        <f>-'Operating Expenses'!V36</f>
        <v/>
      </c>
      <c r="W15" s="67">
        <f>-'Operating Expenses'!W36</f>
        <v/>
      </c>
      <c r="X15" s="67">
        <f>-'Operating Expenses'!X36</f>
        <v/>
      </c>
      <c r="Y15" s="67">
        <f>-'Operating Expenses'!Y36</f>
        <v/>
      </c>
      <c r="Z15" s="67">
        <f>-'Operating Expenses'!Z36</f>
        <v/>
      </c>
      <c r="AA15" s="67">
        <f>-'Operating Expenses'!AA36</f>
        <v/>
      </c>
      <c r="AB15" s="67">
        <f>-'Operating Expenses'!AB36</f>
        <v/>
      </c>
      <c r="AC15" s="67">
        <f>-'Operating Expenses'!AC36</f>
        <v/>
      </c>
      <c r="AD15" s="67">
        <f>-'Operating Expenses'!AD36</f>
        <v/>
      </c>
      <c r="AE15" s="67">
        <f>-'Operating Expenses'!AE36</f>
        <v/>
      </c>
      <c r="AF15" s="67">
        <f>-'Operating Expenses'!AF36</f>
        <v/>
      </c>
      <c r="AG15" s="67">
        <f>-'Operating Expenses'!AG36</f>
        <v/>
      </c>
      <c r="AH15" s="67">
        <f>-'Operating Expenses'!AH36</f>
        <v/>
      </c>
      <c r="AI15" s="67">
        <f>-'Operating Expenses'!AI36</f>
        <v/>
      </c>
      <c r="AJ15" s="67">
        <f>-'Operating Expenses'!AJ36</f>
        <v/>
      </c>
      <c r="AK15" s="67">
        <f>-'Operating Expenses'!AK36</f>
        <v/>
      </c>
      <c r="AL15" s="67">
        <f>-'Operating Expenses'!AL36</f>
        <v/>
      </c>
      <c r="AN15" s="58">
        <f>SUM(C15:N15)</f>
        <v/>
      </c>
      <c r="AO15" s="58">
        <f>SUM(O15:Z15)</f>
        <v/>
      </c>
      <c r="AP15" s="58">
        <f>SUM(AA15:AL15)</f>
        <v/>
      </c>
    </row>
    <row r="16">
      <c r="A16" s="72" t="inlineStr">
        <is>
          <t>Financing: debt and equity (V2 bolt-on)</t>
        </is>
      </c>
    </row>
    <row r="17">
      <c r="A17" s="68" t="inlineStr">
        <is>
          <t>Free cash flow</t>
        </is>
      </c>
      <c r="B17" s="60" t="inlineStr">
        <is>
          <t>$</t>
        </is>
      </c>
      <c r="C17" s="61">
        <f>C12+C15</f>
        <v/>
      </c>
      <c r="D17" s="61">
        <f>D12+D15</f>
        <v/>
      </c>
      <c r="E17" s="61">
        <f>E12+E15</f>
        <v/>
      </c>
      <c r="F17" s="61">
        <f>F12+F15</f>
        <v/>
      </c>
      <c r="G17" s="61">
        <f>G12+G15</f>
        <v/>
      </c>
      <c r="H17" s="61">
        <f>H12+H15</f>
        <v/>
      </c>
      <c r="I17" s="61">
        <f>I12+I15</f>
        <v/>
      </c>
      <c r="J17" s="61">
        <f>J12+J15</f>
        <v/>
      </c>
      <c r="K17" s="61">
        <f>K12+K15</f>
        <v/>
      </c>
      <c r="L17" s="61">
        <f>L12+L15</f>
        <v/>
      </c>
      <c r="M17" s="61">
        <f>M12+M15</f>
        <v/>
      </c>
      <c r="N17" s="61">
        <f>N12+N15</f>
        <v/>
      </c>
      <c r="O17" s="61">
        <f>O12+O15</f>
        <v/>
      </c>
      <c r="P17" s="61">
        <f>P12+P15</f>
        <v/>
      </c>
      <c r="Q17" s="61">
        <f>Q12+Q15</f>
        <v/>
      </c>
      <c r="R17" s="61">
        <f>R12+R15</f>
        <v/>
      </c>
      <c r="S17" s="61">
        <f>S12+S15</f>
        <v/>
      </c>
      <c r="T17" s="61">
        <f>T12+T15</f>
        <v/>
      </c>
      <c r="U17" s="61">
        <f>U12+U15</f>
        <v/>
      </c>
      <c r="V17" s="61">
        <f>V12+V15</f>
        <v/>
      </c>
      <c r="W17" s="61">
        <f>W12+W15</f>
        <v/>
      </c>
      <c r="X17" s="61">
        <f>X12+X15</f>
        <v/>
      </c>
      <c r="Y17" s="61">
        <f>Y12+Y15</f>
        <v/>
      </c>
      <c r="Z17" s="61">
        <f>Z12+Z15</f>
        <v/>
      </c>
      <c r="AA17" s="61">
        <f>AA12+AA15</f>
        <v/>
      </c>
      <c r="AB17" s="61">
        <f>AB12+AB15</f>
        <v/>
      </c>
      <c r="AC17" s="61">
        <f>AC12+AC15</f>
        <v/>
      </c>
      <c r="AD17" s="61">
        <f>AD12+AD15</f>
        <v/>
      </c>
      <c r="AE17" s="61">
        <f>AE12+AE15</f>
        <v/>
      </c>
      <c r="AF17" s="61">
        <f>AF12+AF15</f>
        <v/>
      </c>
      <c r="AG17" s="61">
        <f>AG12+AG15</f>
        <v/>
      </c>
      <c r="AH17" s="61">
        <f>AH12+AH15</f>
        <v/>
      </c>
      <c r="AI17" s="61">
        <f>AI12+AI15</f>
        <v/>
      </c>
      <c r="AJ17" s="61">
        <f>AJ12+AJ15</f>
        <v/>
      </c>
      <c r="AK17" s="61">
        <f>AK12+AK15</f>
        <v/>
      </c>
      <c r="AL17" s="61">
        <f>AL12+AL15</f>
        <v/>
      </c>
      <c r="AN17" s="62">
        <f>SUM(C17:N17)</f>
        <v/>
      </c>
      <c r="AO17" s="62">
        <f>SUM(O17:Z17)</f>
        <v/>
      </c>
      <c r="AP17" s="62">
        <f>SUM(AA17:AL17)</f>
        <v/>
      </c>
    </row>
    <row r="19">
      <c r="A19" s="31" t="inlineStr">
        <is>
          <t>CASH POSITION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32" t="n"/>
      <c r="AG19" s="32" t="n"/>
      <c r="AH19" s="32" t="n"/>
      <c r="AI19" s="32" t="n"/>
      <c r="AJ19" s="32" t="n"/>
      <c r="AK19" s="32" t="n"/>
      <c r="AL19" s="32" t="n"/>
      <c r="AM19" s="32" t="n"/>
      <c r="AN19" s="32" t="n"/>
      <c r="AO19" s="32" t="n"/>
      <c r="AP19" s="32" t="n"/>
    </row>
    <row r="20">
      <c r="A20" s="33" t="inlineStr">
        <is>
          <t>Opening cash</t>
        </is>
      </c>
      <c r="B20" s="34" t="inlineStr">
        <is>
          <t>$</t>
        </is>
      </c>
      <c r="C20" s="58">
        <f>A_Cash0</f>
        <v/>
      </c>
      <c r="D20" s="58">
        <f>C21</f>
        <v/>
      </c>
      <c r="E20" s="58">
        <f>D21</f>
        <v/>
      </c>
      <c r="F20" s="58">
        <f>E21</f>
        <v/>
      </c>
      <c r="G20" s="58">
        <f>F21</f>
        <v/>
      </c>
      <c r="H20" s="58">
        <f>G21</f>
        <v/>
      </c>
      <c r="I20" s="58">
        <f>H21</f>
        <v/>
      </c>
      <c r="J20" s="58">
        <f>I21</f>
        <v/>
      </c>
      <c r="K20" s="58">
        <f>J21</f>
        <v/>
      </c>
      <c r="L20" s="58">
        <f>K21</f>
        <v/>
      </c>
      <c r="M20" s="58">
        <f>L21</f>
        <v/>
      </c>
      <c r="N20" s="58">
        <f>M21</f>
        <v/>
      </c>
      <c r="O20" s="58">
        <f>N21</f>
        <v/>
      </c>
      <c r="P20" s="58">
        <f>O21</f>
        <v/>
      </c>
      <c r="Q20" s="58">
        <f>P21</f>
        <v/>
      </c>
      <c r="R20" s="58">
        <f>Q21</f>
        <v/>
      </c>
      <c r="S20" s="58">
        <f>R21</f>
        <v/>
      </c>
      <c r="T20" s="58">
        <f>S21</f>
        <v/>
      </c>
      <c r="U20" s="58">
        <f>T21</f>
        <v/>
      </c>
      <c r="V20" s="58">
        <f>U21</f>
        <v/>
      </c>
      <c r="W20" s="58">
        <f>V21</f>
        <v/>
      </c>
      <c r="X20" s="58">
        <f>W21</f>
        <v/>
      </c>
      <c r="Y20" s="58">
        <f>X21</f>
        <v/>
      </c>
      <c r="Z20" s="58">
        <f>Y21</f>
        <v/>
      </c>
      <c r="AA20" s="58">
        <f>Z21</f>
        <v/>
      </c>
      <c r="AB20" s="58">
        <f>AA21</f>
        <v/>
      </c>
      <c r="AC20" s="58">
        <f>AB21</f>
        <v/>
      </c>
      <c r="AD20" s="58">
        <f>AC21</f>
        <v/>
      </c>
      <c r="AE20" s="58">
        <f>AD21</f>
        <v/>
      </c>
      <c r="AF20" s="58">
        <f>AE21</f>
        <v/>
      </c>
      <c r="AG20" s="58">
        <f>AF21</f>
        <v/>
      </c>
      <c r="AH20" s="58">
        <f>AG21</f>
        <v/>
      </c>
      <c r="AI20" s="58">
        <f>AH21</f>
        <v/>
      </c>
      <c r="AJ20" s="58">
        <f>AI21</f>
        <v/>
      </c>
      <c r="AK20" s="58">
        <f>AJ21</f>
        <v/>
      </c>
      <c r="AL20" s="58">
        <f>AK21</f>
        <v/>
      </c>
    </row>
    <row r="21">
      <c r="A21" s="68" t="inlineStr">
        <is>
          <t>Closing cash</t>
        </is>
      </c>
      <c r="B21" s="60" t="inlineStr">
        <is>
          <t>$</t>
        </is>
      </c>
      <c r="C21" s="61">
        <f>C20+C17</f>
        <v/>
      </c>
      <c r="D21" s="61">
        <f>D20+D17</f>
        <v/>
      </c>
      <c r="E21" s="61">
        <f>E20+E17</f>
        <v/>
      </c>
      <c r="F21" s="61">
        <f>F20+F17</f>
        <v/>
      </c>
      <c r="G21" s="61">
        <f>G20+G17</f>
        <v/>
      </c>
      <c r="H21" s="61">
        <f>H20+H17</f>
        <v/>
      </c>
      <c r="I21" s="61">
        <f>I20+I17</f>
        <v/>
      </c>
      <c r="J21" s="61">
        <f>J20+J17</f>
        <v/>
      </c>
      <c r="K21" s="61">
        <f>K20+K17</f>
        <v/>
      </c>
      <c r="L21" s="61">
        <f>L20+L17</f>
        <v/>
      </c>
      <c r="M21" s="61">
        <f>M20+M17</f>
        <v/>
      </c>
      <c r="N21" s="61">
        <f>N20+N17</f>
        <v/>
      </c>
      <c r="O21" s="61">
        <f>O20+O17</f>
        <v/>
      </c>
      <c r="P21" s="61">
        <f>P20+P17</f>
        <v/>
      </c>
      <c r="Q21" s="61">
        <f>Q20+Q17</f>
        <v/>
      </c>
      <c r="R21" s="61">
        <f>R20+R17</f>
        <v/>
      </c>
      <c r="S21" s="61">
        <f>S20+S17</f>
        <v/>
      </c>
      <c r="T21" s="61">
        <f>T20+T17</f>
        <v/>
      </c>
      <c r="U21" s="61">
        <f>U20+U17</f>
        <v/>
      </c>
      <c r="V21" s="61">
        <f>V20+V17</f>
        <v/>
      </c>
      <c r="W21" s="61">
        <f>W20+W17</f>
        <v/>
      </c>
      <c r="X21" s="61">
        <f>X20+X17</f>
        <v/>
      </c>
      <c r="Y21" s="61">
        <f>Y20+Y17</f>
        <v/>
      </c>
      <c r="Z21" s="61">
        <f>Z20+Z17</f>
        <v/>
      </c>
      <c r="AA21" s="61">
        <f>AA20+AA17</f>
        <v/>
      </c>
      <c r="AB21" s="61">
        <f>AB20+AB17</f>
        <v/>
      </c>
      <c r="AC21" s="61">
        <f>AC20+AC17</f>
        <v/>
      </c>
      <c r="AD21" s="61">
        <f>AD20+AD17</f>
        <v/>
      </c>
      <c r="AE21" s="61">
        <f>AE20+AE17</f>
        <v/>
      </c>
      <c r="AF21" s="61">
        <f>AF20+AF17</f>
        <v/>
      </c>
      <c r="AG21" s="61">
        <f>AG20+AG17</f>
        <v/>
      </c>
      <c r="AH21" s="61">
        <f>AH20+AH17</f>
        <v/>
      </c>
      <c r="AI21" s="61">
        <f>AI20+AI17</f>
        <v/>
      </c>
      <c r="AJ21" s="61">
        <f>AJ20+AJ17</f>
        <v/>
      </c>
      <c r="AK21" s="61">
        <f>AK20+AK17</f>
        <v/>
      </c>
      <c r="AL21" s="61">
        <f>AL20+AL17</f>
        <v/>
      </c>
      <c r="AN21" s="62">
        <f>N21</f>
        <v/>
      </c>
      <c r="AO21" s="62">
        <f>Z21</f>
        <v/>
      </c>
      <c r="AP21" s="62">
        <f>AL21</f>
        <v/>
      </c>
    </row>
    <row r="23">
      <c r="A23" s="31" t="inlineStr">
        <is>
          <t>LIQUIDITY MEMO</t>
        </is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</row>
    <row r="24">
      <c r="A24" s="33" t="inlineStr">
        <is>
          <t>Monthly burn</t>
        </is>
      </c>
      <c r="B24" s="34" t="inlineStr">
        <is>
          <t>$</t>
        </is>
      </c>
      <c r="C24" s="58">
        <f>MAX(0,-C17)</f>
        <v/>
      </c>
      <c r="D24" s="58">
        <f>MAX(0,-D17)</f>
        <v/>
      </c>
      <c r="E24" s="58">
        <f>MAX(0,-E17)</f>
        <v/>
      </c>
      <c r="F24" s="58">
        <f>MAX(0,-F17)</f>
        <v/>
      </c>
      <c r="G24" s="58">
        <f>MAX(0,-G17)</f>
        <v/>
      </c>
      <c r="H24" s="58">
        <f>MAX(0,-H17)</f>
        <v/>
      </c>
      <c r="I24" s="58">
        <f>MAX(0,-I17)</f>
        <v/>
      </c>
      <c r="J24" s="58">
        <f>MAX(0,-J17)</f>
        <v/>
      </c>
      <c r="K24" s="58">
        <f>MAX(0,-K17)</f>
        <v/>
      </c>
      <c r="L24" s="58">
        <f>MAX(0,-L17)</f>
        <v/>
      </c>
      <c r="M24" s="58">
        <f>MAX(0,-M17)</f>
        <v/>
      </c>
      <c r="N24" s="58">
        <f>MAX(0,-N17)</f>
        <v/>
      </c>
      <c r="O24" s="58">
        <f>MAX(0,-O17)</f>
        <v/>
      </c>
      <c r="P24" s="58">
        <f>MAX(0,-P17)</f>
        <v/>
      </c>
      <c r="Q24" s="58">
        <f>MAX(0,-Q17)</f>
        <v/>
      </c>
      <c r="R24" s="58">
        <f>MAX(0,-R17)</f>
        <v/>
      </c>
      <c r="S24" s="58">
        <f>MAX(0,-S17)</f>
        <v/>
      </c>
      <c r="T24" s="58">
        <f>MAX(0,-T17)</f>
        <v/>
      </c>
      <c r="U24" s="58">
        <f>MAX(0,-U17)</f>
        <v/>
      </c>
      <c r="V24" s="58">
        <f>MAX(0,-V17)</f>
        <v/>
      </c>
      <c r="W24" s="58">
        <f>MAX(0,-W17)</f>
        <v/>
      </c>
      <c r="X24" s="58">
        <f>MAX(0,-X17)</f>
        <v/>
      </c>
      <c r="Y24" s="58">
        <f>MAX(0,-Y17)</f>
        <v/>
      </c>
      <c r="Z24" s="58">
        <f>MAX(0,-Z17)</f>
        <v/>
      </c>
      <c r="AA24" s="58">
        <f>MAX(0,-AA17)</f>
        <v/>
      </c>
      <c r="AB24" s="58">
        <f>MAX(0,-AB17)</f>
        <v/>
      </c>
      <c r="AC24" s="58">
        <f>MAX(0,-AC17)</f>
        <v/>
      </c>
      <c r="AD24" s="58">
        <f>MAX(0,-AD17)</f>
        <v/>
      </c>
      <c r="AE24" s="58">
        <f>MAX(0,-AE17)</f>
        <v/>
      </c>
      <c r="AF24" s="58">
        <f>MAX(0,-AF17)</f>
        <v/>
      </c>
      <c r="AG24" s="58">
        <f>MAX(0,-AG17)</f>
        <v/>
      </c>
      <c r="AH24" s="58">
        <f>MAX(0,-AH17)</f>
        <v/>
      </c>
      <c r="AI24" s="58">
        <f>MAX(0,-AI17)</f>
        <v/>
      </c>
      <c r="AJ24" s="58">
        <f>MAX(0,-AJ17)</f>
        <v/>
      </c>
      <c r="AK24" s="58">
        <f>MAX(0,-AK17)</f>
        <v/>
      </c>
      <c r="AL24" s="58">
        <f>MAX(0,-AL17)</f>
        <v/>
      </c>
      <c r="AN24" s="58">
        <f>N24</f>
        <v/>
      </c>
      <c r="AO24" s="58">
        <f>Z24</f>
        <v/>
      </c>
      <c r="AP24" s="58">
        <f>AL24</f>
        <v/>
      </c>
    </row>
    <row r="25">
      <c r="A25" s="33" t="inlineStr">
        <is>
          <t>Average burn, trailing 3 months</t>
        </is>
      </c>
      <c r="B25" s="34" t="inlineStr">
        <is>
          <t>$</t>
        </is>
      </c>
      <c r="C25" s="58">
        <f>C24</f>
        <v/>
      </c>
      <c r="D25" s="58">
        <f>AVERAGE(C24:D24)</f>
        <v/>
      </c>
      <c r="E25" s="58">
        <f>AVERAGE(C24:E24)</f>
        <v/>
      </c>
      <c r="F25" s="58">
        <f>AVERAGE(D24:F24)</f>
        <v/>
      </c>
      <c r="G25" s="58">
        <f>AVERAGE(E24:G24)</f>
        <v/>
      </c>
      <c r="H25" s="58">
        <f>AVERAGE(F24:H24)</f>
        <v/>
      </c>
      <c r="I25" s="58">
        <f>AVERAGE(G24:I24)</f>
        <v/>
      </c>
      <c r="J25" s="58">
        <f>AVERAGE(H24:J24)</f>
        <v/>
      </c>
      <c r="K25" s="58">
        <f>AVERAGE(I24:K24)</f>
        <v/>
      </c>
      <c r="L25" s="58">
        <f>AVERAGE(J24:L24)</f>
        <v/>
      </c>
      <c r="M25" s="58">
        <f>AVERAGE(K24:M24)</f>
        <v/>
      </c>
      <c r="N25" s="58">
        <f>AVERAGE(L24:N24)</f>
        <v/>
      </c>
      <c r="O25" s="58">
        <f>AVERAGE(M24:O24)</f>
        <v/>
      </c>
      <c r="P25" s="58">
        <f>AVERAGE(N24:P24)</f>
        <v/>
      </c>
      <c r="Q25" s="58">
        <f>AVERAGE(O24:Q24)</f>
        <v/>
      </c>
      <c r="R25" s="58">
        <f>AVERAGE(P24:R24)</f>
        <v/>
      </c>
      <c r="S25" s="58">
        <f>AVERAGE(Q24:S24)</f>
        <v/>
      </c>
      <c r="T25" s="58">
        <f>AVERAGE(R24:T24)</f>
        <v/>
      </c>
      <c r="U25" s="58">
        <f>AVERAGE(S24:U24)</f>
        <v/>
      </c>
      <c r="V25" s="58">
        <f>AVERAGE(T24:V24)</f>
        <v/>
      </c>
      <c r="W25" s="58">
        <f>AVERAGE(U24:W24)</f>
        <v/>
      </c>
      <c r="X25" s="58">
        <f>AVERAGE(V24:X24)</f>
        <v/>
      </c>
      <c r="Y25" s="58">
        <f>AVERAGE(W24:Y24)</f>
        <v/>
      </c>
      <c r="Z25" s="58">
        <f>AVERAGE(X24:Z24)</f>
        <v/>
      </c>
      <c r="AA25" s="58">
        <f>AVERAGE(Y24:AA24)</f>
        <v/>
      </c>
      <c r="AB25" s="58">
        <f>AVERAGE(Z24:AB24)</f>
        <v/>
      </c>
      <c r="AC25" s="58">
        <f>AVERAGE(AA24:AC24)</f>
        <v/>
      </c>
      <c r="AD25" s="58">
        <f>AVERAGE(AB24:AD24)</f>
        <v/>
      </c>
      <c r="AE25" s="58">
        <f>AVERAGE(AC24:AE24)</f>
        <v/>
      </c>
      <c r="AF25" s="58">
        <f>AVERAGE(AD24:AF24)</f>
        <v/>
      </c>
      <c r="AG25" s="58">
        <f>AVERAGE(AE24:AG24)</f>
        <v/>
      </c>
      <c r="AH25" s="58">
        <f>AVERAGE(AF24:AH24)</f>
        <v/>
      </c>
      <c r="AI25" s="58">
        <f>AVERAGE(AG24:AI24)</f>
        <v/>
      </c>
      <c r="AJ25" s="58">
        <f>AVERAGE(AH24:AJ24)</f>
        <v/>
      </c>
      <c r="AK25" s="58">
        <f>AVERAGE(AI24:AK24)</f>
        <v/>
      </c>
      <c r="AL25" s="58">
        <f>AVERAGE(AJ24:AL24)</f>
        <v/>
      </c>
      <c r="AN25" s="58">
        <f>N25</f>
        <v/>
      </c>
      <c r="AO25" s="58">
        <f>Z25</f>
        <v/>
      </c>
      <c r="AP25" s="58">
        <f>AL25</f>
        <v/>
      </c>
    </row>
    <row r="26">
      <c r="A26" s="33" t="inlineStr">
        <is>
          <t>Runway (months of trailing burn)</t>
        </is>
      </c>
      <c r="B26" s="34" t="inlineStr">
        <is>
          <t>mo</t>
        </is>
      </c>
      <c r="C26" s="73">
        <f>IF(C25&lt;=0,"n/a",IF(C21/C25&gt;60,"&gt;60",C21/C25))</f>
        <v/>
      </c>
      <c r="D26" s="73">
        <f>IF(D25&lt;=0,"n/a",IF(D21/D25&gt;60,"&gt;60",D21/D25))</f>
        <v/>
      </c>
      <c r="E26" s="73">
        <f>IF(E25&lt;=0,"n/a",IF(E21/E25&gt;60,"&gt;60",E21/E25))</f>
        <v/>
      </c>
      <c r="F26" s="73">
        <f>IF(F25&lt;=0,"n/a",IF(F21/F25&gt;60,"&gt;60",F21/F25))</f>
        <v/>
      </c>
      <c r="G26" s="73">
        <f>IF(G25&lt;=0,"n/a",IF(G21/G25&gt;60,"&gt;60",G21/G25))</f>
        <v/>
      </c>
      <c r="H26" s="73">
        <f>IF(H25&lt;=0,"n/a",IF(H21/H25&gt;60,"&gt;60",H21/H25))</f>
        <v/>
      </c>
      <c r="I26" s="73">
        <f>IF(I25&lt;=0,"n/a",IF(I21/I25&gt;60,"&gt;60",I21/I25))</f>
        <v/>
      </c>
      <c r="J26" s="73">
        <f>IF(J25&lt;=0,"n/a",IF(J21/J25&gt;60,"&gt;60",J21/J25))</f>
        <v/>
      </c>
      <c r="K26" s="73">
        <f>IF(K25&lt;=0,"n/a",IF(K21/K25&gt;60,"&gt;60",K21/K25))</f>
        <v/>
      </c>
      <c r="L26" s="73">
        <f>IF(L25&lt;=0,"n/a",IF(L21/L25&gt;60,"&gt;60",L21/L25))</f>
        <v/>
      </c>
      <c r="M26" s="73">
        <f>IF(M25&lt;=0,"n/a",IF(M21/M25&gt;60,"&gt;60",M21/M25))</f>
        <v/>
      </c>
      <c r="N26" s="73">
        <f>IF(N25&lt;=0,"n/a",IF(N21/N25&gt;60,"&gt;60",N21/N25))</f>
        <v/>
      </c>
      <c r="O26" s="73">
        <f>IF(O25&lt;=0,"n/a",IF(O21/O25&gt;60,"&gt;60",O21/O25))</f>
        <v/>
      </c>
      <c r="P26" s="73">
        <f>IF(P25&lt;=0,"n/a",IF(P21/P25&gt;60,"&gt;60",P21/P25))</f>
        <v/>
      </c>
      <c r="Q26" s="73">
        <f>IF(Q25&lt;=0,"n/a",IF(Q21/Q25&gt;60,"&gt;60",Q21/Q25))</f>
        <v/>
      </c>
      <c r="R26" s="73">
        <f>IF(R25&lt;=0,"n/a",IF(R21/R25&gt;60,"&gt;60",R21/R25))</f>
        <v/>
      </c>
      <c r="S26" s="73">
        <f>IF(S25&lt;=0,"n/a",IF(S21/S25&gt;60,"&gt;60",S21/S25))</f>
        <v/>
      </c>
      <c r="T26" s="73">
        <f>IF(T25&lt;=0,"n/a",IF(T21/T25&gt;60,"&gt;60",T21/T25))</f>
        <v/>
      </c>
      <c r="U26" s="73">
        <f>IF(U25&lt;=0,"n/a",IF(U21/U25&gt;60,"&gt;60",U21/U25))</f>
        <v/>
      </c>
      <c r="V26" s="73">
        <f>IF(V25&lt;=0,"n/a",IF(V21/V25&gt;60,"&gt;60",V21/V25))</f>
        <v/>
      </c>
      <c r="W26" s="73">
        <f>IF(W25&lt;=0,"n/a",IF(W21/W25&gt;60,"&gt;60",W21/W25))</f>
        <v/>
      </c>
      <c r="X26" s="73">
        <f>IF(X25&lt;=0,"n/a",IF(X21/X25&gt;60,"&gt;60",X21/X25))</f>
        <v/>
      </c>
      <c r="Y26" s="73">
        <f>IF(Y25&lt;=0,"n/a",IF(Y21/Y25&gt;60,"&gt;60",Y21/Y25))</f>
        <v/>
      </c>
      <c r="Z26" s="73">
        <f>IF(Z25&lt;=0,"n/a",IF(Z21/Z25&gt;60,"&gt;60",Z21/Z25))</f>
        <v/>
      </c>
      <c r="AA26" s="73">
        <f>IF(AA25&lt;=0,"n/a",IF(AA21/AA25&gt;60,"&gt;60",AA21/AA25))</f>
        <v/>
      </c>
      <c r="AB26" s="73">
        <f>IF(AB25&lt;=0,"n/a",IF(AB21/AB25&gt;60,"&gt;60",AB21/AB25))</f>
        <v/>
      </c>
      <c r="AC26" s="73">
        <f>IF(AC25&lt;=0,"n/a",IF(AC21/AC25&gt;60,"&gt;60",AC21/AC25))</f>
        <v/>
      </c>
      <c r="AD26" s="73">
        <f>IF(AD25&lt;=0,"n/a",IF(AD21/AD25&gt;60,"&gt;60",AD21/AD25))</f>
        <v/>
      </c>
      <c r="AE26" s="73">
        <f>IF(AE25&lt;=0,"n/a",IF(AE21/AE25&gt;60,"&gt;60",AE21/AE25))</f>
        <v/>
      </c>
      <c r="AF26" s="73">
        <f>IF(AF25&lt;=0,"n/a",IF(AF21/AF25&gt;60,"&gt;60",AF21/AF25))</f>
        <v/>
      </c>
      <c r="AG26" s="73">
        <f>IF(AG25&lt;=0,"n/a",IF(AG21/AG25&gt;60,"&gt;60",AG21/AG25))</f>
        <v/>
      </c>
      <c r="AH26" s="73">
        <f>IF(AH25&lt;=0,"n/a",IF(AH21/AH25&gt;60,"&gt;60",AH21/AH25))</f>
        <v/>
      </c>
      <c r="AI26" s="73">
        <f>IF(AI25&lt;=0,"n/a",IF(AI21/AI25&gt;60,"&gt;60",AI21/AI25))</f>
        <v/>
      </c>
      <c r="AJ26" s="73">
        <f>IF(AJ25&lt;=0,"n/a",IF(AJ21/AJ25&gt;60,"&gt;60",AJ21/AJ25))</f>
        <v/>
      </c>
      <c r="AK26" s="73">
        <f>IF(AK25&lt;=0,"n/a",IF(AK21/AK25&gt;60,"&gt;60",AK21/AK25))</f>
        <v/>
      </c>
      <c r="AL26" s="73">
        <f>IF(AL25&lt;=0,"n/a",IF(AL21/AL25&gt;60,"&gt;60",AL21/AL25))</f>
        <v/>
      </c>
      <c r="AN26" s="73">
        <f>N26</f>
        <v/>
      </c>
      <c r="AO26" s="73">
        <f>Z26</f>
        <v/>
      </c>
      <c r="AP26" s="73">
        <f>AL26</f>
        <v/>
      </c>
    </row>
    <row r="28" ht="24" customHeight="1">
      <c r="A28" s="64" t="inlineStr">
        <is>
          <t>Runway divides closing cash by trailing three-month average burn and reads n/a once free cash flow is positive (denominator guarded).</t>
        </is>
      </c>
    </row>
  </sheetData>
  <hyperlinks>
    <hyperlink xmlns:r="http://schemas.openxmlformats.org/officeDocument/2006/relationships" ref="E1" location="Cover!A1" r:id="rId1"/>
  </hyperlinks>
  <pageMargins left="0.75" right="0.75" top="1" bottom="1" header="0.5" footer="0.5"/>
  <pageSetup orientation="landscape" fitToHeight="0" horizontalDpi="300" verticalDpi="300"/>
  <headerFooter>
    <oddHeader>&amp;LNovaFlow Analytics&amp;RCash Flow</oddHeader>
    <oddFooter>&amp;LFP&amp;&amp;A Planning Model v1.0&amp;CConfidential&amp;RPage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FFC49A6C"/>
    <outlinePr summaryBelow="1" summaryRight="1"/>
    <pageSetUpPr fitToPage="1"/>
  </sheetPr>
  <dimension ref="A1:AP95"/>
  <sheetViews>
    <sheetView showGridLines="0" topLeftCell="S7" zoomScaleNormal="100" workbookViewId="0">
      <selection activeCell="AA16" sqref="AA16:AC16"/>
    </sheetView>
  </sheetViews>
  <sheetFormatPr baseColWidth="8" defaultColWidth="8.6328125" defaultRowHeight="14.5"/>
  <cols>
    <col width="38.26953125" bestFit="1" customWidth="1" min="1" max="1"/>
    <col width="9" customWidth="1" min="2" max="2"/>
    <col width="11.453125" customWidth="1" min="3" max="38"/>
    <col width="2" customWidth="1" min="39" max="39"/>
    <col width="13.453125" customWidth="1" min="40" max="42"/>
  </cols>
  <sheetData>
    <row r="1" ht="13.5" customHeight="1">
      <c r="A1" s="13" t="inlineStr">
        <is>
          <t>NOVAFLOW ANALYTICS</t>
        </is>
      </c>
      <c r="B1" s="14" t="n"/>
      <c r="C1" s="14" t="n"/>
      <c r="D1" s="14" t="n"/>
      <c r="E1" s="15" t="inlineStr">
        <is>
          <t>back to cover</t>
        </is>
      </c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</row>
    <row r="2" ht="21.75" customHeight="1">
      <c r="A2" s="16" t="inlineStr">
        <is>
          <t>FP&amp;A Executive Dashboard</t>
        </is>
      </c>
      <c r="B2" s="14" t="n"/>
      <c r="C2" s="14" t="n"/>
      <c r="D2" s="14" t="n"/>
      <c r="E2" s="17" t="inlineStr">
        <is>
          <t>FY2026 to FY2028 Forecast     •     Scenario-Driven SaaS Operating Model</t>
        </is>
      </c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</row>
    <row r="3" ht="3.7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 ht="19.5" customHeight="1">
      <c r="A4" s="1" t="n"/>
      <c r="B4" s="1" t="n"/>
      <c r="C4" s="97" t="inlineStr">
        <is>
          <t>ACTIVE SCENARIO</t>
        </is>
      </c>
      <c r="D4" s="98" t="n"/>
      <c r="E4" s="96">
        <f>ScenarioSel</f>
        <v/>
      </c>
      <c r="G4" s="98" t="n"/>
      <c r="H4" s="99" t="inlineStr">
        <is>
          <t>FORECAST</t>
        </is>
      </c>
      <c r="I4" s="100" t="inlineStr">
        <is>
          <t>FY2026 to FY2028</t>
        </is>
      </c>
      <c r="L4" s="99" t="inlineStr">
        <is>
          <t>CURRENCY</t>
        </is>
      </c>
      <c r="M4" s="100" t="inlineStr">
        <is>
          <t>USD</t>
        </is>
      </c>
      <c r="N4" s="99" t="inlineStr">
        <is>
          <t>UPDATED</t>
        </is>
      </c>
      <c r="O4" s="100" t="inlineStr">
        <is>
          <t>12 Jul 2026</t>
        </is>
      </c>
      <c r="Q4" s="98" t="n"/>
      <c r="R4" s="101" t="inlineStr">
        <is>
          <t>▸ change scenario on Scenario Manager</t>
        </is>
      </c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" customHeight="1">
      <c r="A5" s="1" t="n"/>
      <c r="B5" s="1" t="n"/>
      <c r="C5" s="102" t="inlineStr">
        <is>
          <t>FINANCIAL PERFORMANCE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</row>
    <row r="6" ht="14" customHeight="1">
      <c r="A6" s="1" t="n"/>
      <c r="B6" s="1" t="n"/>
      <c r="C6" s="86" t="inlineStr">
        <is>
          <t>REVENUE (FY28)</t>
        </is>
      </c>
      <c r="D6" s="103" t="n"/>
      <c r="E6" s="103" t="n"/>
      <c r="F6" s="1" t="n"/>
      <c r="G6" s="86" t="inlineStr">
        <is>
          <t>ANNUAL RECURRING REVENUE</t>
        </is>
      </c>
      <c r="H6" s="103" t="n"/>
      <c r="I6" s="103" t="n"/>
      <c r="J6" s="1" t="n"/>
      <c r="K6" s="86" t="inlineStr">
        <is>
          <t>CASH BALANCE</t>
        </is>
      </c>
      <c r="L6" s="103" t="n"/>
      <c r="M6" s="103" t="n"/>
      <c r="N6" s="1" t="n"/>
      <c r="O6" s="86" t="inlineStr">
        <is>
          <t>GROSS MARGIN</t>
        </is>
      </c>
      <c r="P6" s="103" t="n"/>
      <c r="Q6" s="103" t="n"/>
      <c r="R6" s="1" t="n"/>
      <c r="S6" s="86" t="inlineStr">
        <is>
          <t>EBITDA MARGIN</t>
        </is>
      </c>
      <c r="T6" s="103" t="n"/>
      <c r="U6" s="103" t="n"/>
      <c r="V6" s="1" t="n"/>
      <c r="W6" s="86" t="inlineStr">
        <is>
          <t>NET INCOME</t>
        </is>
      </c>
      <c r="X6" s="103" t="n"/>
      <c r="Y6" s="103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</row>
    <row r="7" ht="30" customHeight="1">
      <c r="A7" s="1" t="n"/>
      <c r="B7" s="1" t="n"/>
      <c r="C7" s="104">
        <f>'Income Statement'!AP7</f>
        <v/>
      </c>
      <c r="F7" s="1" t="n"/>
      <c r="G7" s="104">
        <f>'Revenue Model'!AL35</f>
        <v/>
      </c>
      <c r="J7" s="1" t="n"/>
      <c r="K7" s="104">
        <f>'Cash Flow'!AL21</f>
        <v/>
      </c>
      <c r="N7" s="1" t="n"/>
      <c r="O7" s="87">
        <f>'Income Statement'!AP10</f>
        <v/>
      </c>
      <c r="R7" s="1" t="n"/>
      <c r="S7" s="87">
        <f>'Income Statement'!AP18</f>
        <v/>
      </c>
      <c r="V7" s="1" t="n"/>
      <c r="W7" s="105">
        <f>'Income Statement'!AP26</f>
        <v/>
      </c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</row>
    <row r="8" ht="13" customHeight="1">
      <c r="A8" s="1" t="n"/>
      <c r="B8" s="1" t="n"/>
      <c r="C8" s="85">
        <f>IF('Income Statement'!AP7&gt;='Income Statement'!AO7,"▲ ","▼ ")&amp;TEXT('Income Statement'!AP7/'Income Statement'!AO7-1,"+0.0%;-0.0%")&amp;" vs FY27"</f>
        <v/>
      </c>
      <c r="F8" s="1" t="n"/>
      <c r="G8" s="85">
        <f>IF(AL57&gt;=Z57,"▲ ","▼ ")&amp;TEXT(AL57/Z57-1,"+0.0%;-0.0%")&amp;" vs Dec-27"</f>
        <v/>
      </c>
      <c r="J8" s="1" t="n"/>
      <c r="K8" s="85">
        <f>IF(AL76&gt;=Z76,"▲ ","▼ ")&amp;TEXT(AL76/Z76-1,"+0.0%;-0.0%")&amp;" vs Dec-27"</f>
        <v/>
      </c>
      <c r="N8" s="1" t="n"/>
      <c r="O8" s="85" t="inlineStr">
        <is>
          <t>FY2028</t>
        </is>
      </c>
      <c r="R8" s="1" t="n"/>
      <c r="S8" s="85" t="inlineStr">
        <is>
          <t>FY2028</t>
        </is>
      </c>
      <c r="V8" s="1" t="n"/>
      <c r="W8" s="85" t="inlineStr">
        <is>
          <t>FY2028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</row>
    <row r="9" ht="16" customHeight="1">
      <c r="A9" s="1" t="n"/>
      <c r="B9" s="1" t="n"/>
      <c r="C9" s="102" t="inlineStr">
        <is>
          <t>GROWTH &amp; LIQUIDITY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</row>
    <row r="10" ht="14" customHeight="1">
      <c r="A10" s="1" t="n"/>
      <c r="B10" s="1" t="n"/>
      <c r="C10" s="86" t="inlineStr">
        <is>
          <t>MONTHLY RECURRING REVENUE</t>
        </is>
      </c>
      <c r="D10" s="103" t="n"/>
      <c r="E10" s="103" t="n"/>
      <c r="F10" s="1" t="n"/>
      <c r="G10" s="86" t="inlineStr">
        <is>
          <t>REVENUE GROWTH</t>
        </is>
      </c>
      <c r="H10" s="103" t="n"/>
      <c r="I10" s="103" t="n"/>
      <c r="J10" s="1" t="n"/>
      <c r="K10" s="86" t="inlineStr">
        <is>
          <t>MONTHLY BURN</t>
        </is>
      </c>
      <c r="L10" s="103" t="n"/>
      <c r="M10" s="103" t="n"/>
      <c r="N10" s="1" t="n"/>
      <c r="O10" s="86" t="inlineStr">
        <is>
          <t>RUNWAY</t>
        </is>
      </c>
      <c r="P10" s="103" t="n"/>
      <c r="Q10" s="103" t="n"/>
      <c r="R10" s="1" t="n"/>
      <c r="S10" s="86" t="inlineStr">
        <is>
          <t>FREE CASH FLOW</t>
        </is>
      </c>
      <c r="T10" s="103" t="n"/>
      <c r="U10" s="103" t="n"/>
      <c r="V10" s="1" t="n"/>
      <c r="W10" s="86" t="inlineStr">
        <is>
          <t>RULE OF 40</t>
        </is>
      </c>
      <c r="X10" s="103" t="n"/>
      <c r="Y10" s="103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</row>
    <row r="11" ht="30" customHeight="1">
      <c r="A11" s="1" t="n"/>
      <c r="B11" s="1" t="n"/>
      <c r="C11" s="106">
        <f>'Revenue Model'!AL34</f>
        <v/>
      </c>
      <c r="F11" s="1" t="n"/>
      <c r="G11" s="87">
        <f>IFERROR('Income Statement'!AP7/'Income Statement'!AO7-1,0)</f>
        <v/>
      </c>
      <c r="J11" s="1" t="n"/>
      <c r="K11" s="106">
        <f>'Cash Flow'!AL25</f>
        <v/>
      </c>
      <c r="N11" s="1" t="n"/>
      <c r="O11" s="90">
        <f>'Cash Flow'!AL26</f>
        <v/>
      </c>
      <c r="R11" s="1" t="n"/>
      <c r="S11" s="105">
        <f>'Cash Flow'!AP17</f>
        <v/>
      </c>
      <c r="V11" s="1" t="n"/>
      <c r="W11" s="87">
        <f>AL75</f>
        <v/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</row>
    <row r="12" ht="13" customHeight="1">
      <c r="A12" s="1" t="n"/>
      <c r="B12" s="1" t="n"/>
      <c r="C12" s="85" t="inlineStr">
        <is>
          <t>Dec-28 exit</t>
        </is>
      </c>
      <c r="F12" s="1" t="n"/>
      <c r="G12" s="85" t="inlineStr">
        <is>
          <t>FY28 vs FY27</t>
        </is>
      </c>
      <c r="J12" s="1" t="n"/>
      <c r="K12" s="85" t="inlineStr">
        <is>
          <t>trailing 3-month average</t>
        </is>
      </c>
      <c r="N12" s="1" t="n"/>
      <c r="O12" s="85" t="inlineStr">
        <is>
          <t>red below 12 months</t>
        </is>
      </c>
      <c r="R12" s="1" t="n"/>
      <c r="S12" s="85" t="inlineStr">
        <is>
          <t>FY2028</t>
        </is>
      </c>
      <c r="V12" s="1" t="n"/>
      <c r="W12" s="85" t="inlineStr">
        <is>
          <t>FY28 growth + EBITDA margin</t>
        </is>
      </c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</row>
    <row r="13" ht="8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</row>
    <row r="14" ht="16" customHeight="1">
      <c r="A14" s="1" t="n"/>
      <c r="B14" s="1" t="n"/>
      <c r="C14" s="102" t="inlineStr">
        <is>
          <t>SAAS EFFICIENCY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</row>
    <row r="15" ht="14" customHeight="1">
      <c r="A15" s="1" t="n"/>
      <c r="B15" s="1" t="n"/>
      <c r="C15" s="86" t="inlineStr">
        <is>
          <t>NET REVENUE RETENTION</t>
        </is>
      </c>
      <c r="D15" s="103" t="n"/>
      <c r="E15" s="103" t="n"/>
      <c r="F15" s="1" t="n"/>
      <c r="G15" s="86" t="inlineStr">
        <is>
          <t>GROSS REVENUE RETENTION</t>
        </is>
      </c>
      <c r="H15" s="103" t="n"/>
      <c r="I15" s="103" t="n"/>
      <c r="J15" s="1" t="n"/>
      <c r="K15" s="86" t="inlineStr">
        <is>
          <t>CAC</t>
        </is>
      </c>
      <c r="L15" s="103" t="n"/>
      <c r="M15" s="103" t="n"/>
      <c r="N15" s="1" t="n"/>
      <c r="O15" s="86" t="inlineStr">
        <is>
          <t>LTV</t>
        </is>
      </c>
      <c r="P15" s="103" t="n"/>
      <c r="Q15" s="103" t="n"/>
      <c r="R15" s="1" t="n"/>
      <c r="S15" s="86" t="inlineStr">
        <is>
          <t>LTV / CAC</t>
        </is>
      </c>
      <c r="T15" s="103" t="n"/>
      <c r="U15" s="103" t="n"/>
      <c r="V15" s="1" t="n"/>
      <c r="W15" s="86" t="inlineStr">
        <is>
          <t>CAC PAYBACK</t>
        </is>
      </c>
      <c r="X15" s="103" t="n"/>
      <c r="Y15" s="103" t="n"/>
      <c r="Z15" s="1" t="n"/>
      <c r="AA15" s="86" t="inlineStr">
        <is>
          <t>MAGIC NUMBER</t>
        </is>
      </c>
      <c r="AB15" s="103" t="n"/>
      <c r="AC15" s="103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</row>
    <row r="16" ht="30" customHeight="1">
      <c r="A16" s="1" t="n"/>
      <c r="B16" s="1" t="n"/>
      <c r="C16" s="87">
        <f>AL64</f>
        <v/>
      </c>
      <c r="F16" s="1" t="n"/>
      <c r="G16" s="87">
        <f>AL65</f>
        <v/>
      </c>
      <c r="J16" s="1" t="n"/>
      <c r="K16" s="107">
        <f>AL68</f>
        <v/>
      </c>
      <c r="N16" s="1" t="n"/>
      <c r="O16" s="107">
        <f>AL71</f>
        <v/>
      </c>
      <c r="R16" s="1" t="n"/>
      <c r="S16" s="108">
        <f>AL72</f>
        <v/>
      </c>
      <c r="V16" s="1" t="n"/>
      <c r="W16" s="90">
        <f>AL73</f>
        <v/>
      </c>
      <c r="Z16" s="1" t="n"/>
      <c r="AA16" s="91">
        <f>AL74</f>
        <v/>
      </c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</row>
    <row r="17" ht="13" customHeight="1">
      <c r="A17" s="1" t="n"/>
      <c r="B17" s="1" t="n"/>
      <c r="C17" s="85" t="inlineStr">
        <is>
          <t>Dec-28, annualised</t>
        </is>
      </c>
      <c r="F17" s="1" t="n"/>
      <c r="G17" s="85" t="inlineStr">
        <is>
          <t>Dec-28, annualised</t>
        </is>
      </c>
      <c r="J17" s="1" t="n"/>
      <c r="K17" s="85" t="inlineStr">
        <is>
          <t>blended, trailing 3 months</t>
        </is>
      </c>
      <c r="N17" s="1" t="n"/>
      <c r="O17" s="85" t="inlineStr">
        <is>
          <t>GM x ARPU / churn</t>
        </is>
      </c>
      <c r="R17" s="1" t="n"/>
      <c r="S17" s="85" t="inlineStr">
        <is>
          <t>target above 3x</t>
        </is>
      </c>
      <c r="V17" s="1" t="n"/>
      <c r="W17" s="85" t="inlineStr">
        <is>
          <t>months of gross profit</t>
        </is>
      </c>
      <c r="Z17" s="1" t="n"/>
      <c r="AA17" s="85" t="inlineStr">
        <is>
          <t>net new ARR / prior qtr S&amp;M</t>
        </is>
      </c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</row>
    <row r="18" ht="8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</row>
    <row r="20" ht="16.5" customHeight="1">
      <c r="A20" s="1" t="n"/>
      <c r="B20" s="1" t="n"/>
      <c r="C20" s="76" t="inlineStr">
        <is>
          <t>TRAJECTORY</t>
        </is>
      </c>
      <c r="D20" s="5" t="n"/>
      <c r="E20" s="5" t="n"/>
      <c r="F20" s="5" t="n"/>
      <c r="G20" s="5" t="n"/>
      <c r="H20" s="5" t="n"/>
      <c r="I20" s="5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 ht="16.5" customHeight="1">
      <c r="A37" s="1" t="n"/>
      <c r="B37" s="1" t="n"/>
      <c r="C37" s="76" t="inlineStr">
        <is>
          <t>COMPOSITION</t>
        </is>
      </c>
      <c r="D37" s="5" t="n"/>
      <c r="E37" s="5" t="n"/>
      <c r="F37" s="5" t="n"/>
      <c r="G37" s="5" t="n"/>
      <c r="H37" s="5" t="n"/>
      <c r="I37" s="5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 ht="46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 ht="45" customHeight="1"/>
    <row r="54" ht="16.5" customHeight="1">
      <c r="A54" s="19" t="inlineStr">
        <is>
          <t>KPI DETAIL BY MONTH</t>
        </is>
      </c>
      <c r="H54" s="24" t="inlineStr">
        <is>
          <t>monthly engine behind the cards and charts; FY columns roll up on the right</t>
        </is>
      </c>
    </row>
    <row r="56">
      <c r="A56" s="54" t="inlineStr">
        <is>
          <t>Month</t>
        </is>
      </c>
      <c r="C56" s="55">
        <f>ModelStart</f>
        <v/>
      </c>
      <c r="D56" s="55">
        <f>EDATE(C56,1)</f>
        <v/>
      </c>
      <c r="E56" s="55">
        <f>EDATE(D56,1)</f>
        <v/>
      </c>
      <c r="F56" s="55">
        <f>EDATE(E56,1)</f>
        <v/>
      </c>
      <c r="G56" s="55">
        <f>EDATE(F56,1)</f>
        <v/>
      </c>
      <c r="H56" s="55">
        <f>EDATE(G56,1)</f>
        <v/>
      </c>
      <c r="I56" s="55">
        <f>EDATE(H56,1)</f>
        <v/>
      </c>
      <c r="J56" s="55">
        <f>EDATE(I56,1)</f>
        <v/>
      </c>
      <c r="K56" s="55">
        <f>EDATE(J56,1)</f>
        <v/>
      </c>
      <c r="L56" s="55">
        <f>EDATE(K56,1)</f>
        <v/>
      </c>
      <c r="M56" s="55">
        <f>EDATE(L56,1)</f>
        <v/>
      </c>
      <c r="N56" s="55">
        <f>EDATE(M56,1)</f>
        <v/>
      </c>
      <c r="O56" s="55">
        <f>EDATE(N56,1)</f>
        <v/>
      </c>
      <c r="P56" s="55">
        <f>EDATE(O56,1)</f>
        <v/>
      </c>
      <c r="Q56" s="55">
        <f>EDATE(P56,1)</f>
        <v/>
      </c>
      <c r="R56" s="55">
        <f>EDATE(Q56,1)</f>
        <v/>
      </c>
      <c r="S56" s="55">
        <f>EDATE(R56,1)</f>
        <v/>
      </c>
      <c r="T56" s="55">
        <f>EDATE(S56,1)</f>
        <v/>
      </c>
      <c r="U56" s="55">
        <f>EDATE(T56,1)</f>
        <v/>
      </c>
      <c r="V56" s="55">
        <f>EDATE(U56,1)</f>
        <v/>
      </c>
      <c r="W56" s="55">
        <f>EDATE(V56,1)</f>
        <v/>
      </c>
      <c r="X56" s="55">
        <f>EDATE(W56,1)</f>
        <v/>
      </c>
      <c r="Y56" s="55">
        <f>EDATE(X56,1)</f>
        <v/>
      </c>
      <c r="Z56" s="55">
        <f>EDATE(Y56,1)</f>
        <v/>
      </c>
      <c r="AA56" s="55">
        <f>EDATE(Z56,1)</f>
        <v/>
      </c>
      <c r="AB56" s="55">
        <f>EDATE(AA56,1)</f>
        <v/>
      </c>
      <c r="AC56" s="55">
        <f>EDATE(AB56,1)</f>
        <v/>
      </c>
      <c r="AD56" s="55">
        <f>EDATE(AC56,1)</f>
        <v/>
      </c>
      <c r="AE56" s="55">
        <f>EDATE(AD56,1)</f>
        <v/>
      </c>
      <c r="AF56" s="55">
        <f>EDATE(AE56,1)</f>
        <v/>
      </c>
      <c r="AG56" s="55">
        <f>EDATE(AF56,1)</f>
        <v/>
      </c>
      <c r="AH56" s="55">
        <f>EDATE(AG56,1)</f>
        <v/>
      </c>
      <c r="AI56" s="55">
        <f>EDATE(AH56,1)</f>
        <v/>
      </c>
      <c r="AJ56" s="55">
        <f>EDATE(AI56,1)</f>
        <v/>
      </c>
      <c r="AK56" s="55">
        <f>EDATE(AJ56,1)</f>
        <v/>
      </c>
      <c r="AL56" s="55">
        <f>EDATE(AK56,1)</f>
        <v/>
      </c>
      <c r="AN56" s="69" t="inlineStr">
        <is>
          <t>FY2026</t>
        </is>
      </c>
      <c r="AO56" s="69" t="inlineStr">
        <is>
          <t>FY2027</t>
        </is>
      </c>
      <c r="AP56" s="69" t="inlineStr">
        <is>
          <t>FY2028</t>
        </is>
      </c>
    </row>
    <row r="57">
      <c r="A57" s="33" t="inlineStr">
        <is>
          <t>Total ARR</t>
        </is>
      </c>
      <c r="B57" s="34" t="inlineStr">
        <is>
          <t>$</t>
        </is>
      </c>
      <c r="C57" s="67">
        <f>'Revenue Model'!C35</f>
        <v/>
      </c>
      <c r="D57" s="67">
        <f>'Revenue Model'!D35</f>
        <v/>
      </c>
      <c r="E57" s="67">
        <f>'Revenue Model'!E35</f>
        <v/>
      </c>
      <c r="F57" s="67">
        <f>'Revenue Model'!F35</f>
        <v/>
      </c>
      <c r="G57" s="67">
        <f>'Revenue Model'!G35</f>
        <v/>
      </c>
      <c r="H57" s="67">
        <f>'Revenue Model'!H35</f>
        <v/>
      </c>
      <c r="I57" s="67">
        <f>'Revenue Model'!I35</f>
        <v/>
      </c>
      <c r="J57" s="67">
        <f>'Revenue Model'!J35</f>
        <v/>
      </c>
      <c r="K57" s="67">
        <f>'Revenue Model'!K35</f>
        <v/>
      </c>
      <c r="L57" s="67">
        <f>'Revenue Model'!L35</f>
        <v/>
      </c>
      <c r="M57" s="67">
        <f>'Revenue Model'!M35</f>
        <v/>
      </c>
      <c r="N57" s="67">
        <f>'Revenue Model'!N35</f>
        <v/>
      </c>
      <c r="O57" s="67">
        <f>'Revenue Model'!O35</f>
        <v/>
      </c>
      <c r="P57" s="67">
        <f>'Revenue Model'!P35</f>
        <v/>
      </c>
      <c r="Q57" s="67">
        <f>'Revenue Model'!Q35</f>
        <v/>
      </c>
      <c r="R57" s="67">
        <f>'Revenue Model'!R35</f>
        <v/>
      </c>
      <c r="S57" s="67">
        <f>'Revenue Model'!S35</f>
        <v/>
      </c>
      <c r="T57" s="67">
        <f>'Revenue Model'!T35</f>
        <v/>
      </c>
      <c r="U57" s="67">
        <f>'Revenue Model'!U35</f>
        <v/>
      </c>
      <c r="V57" s="67">
        <f>'Revenue Model'!V35</f>
        <v/>
      </c>
      <c r="W57" s="67">
        <f>'Revenue Model'!W35</f>
        <v/>
      </c>
      <c r="X57" s="67">
        <f>'Revenue Model'!X35</f>
        <v/>
      </c>
      <c r="Y57" s="67">
        <f>'Revenue Model'!Y35</f>
        <v/>
      </c>
      <c r="Z57" s="67">
        <f>'Revenue Model'!Z35</f>
        <v/>
      </c>
      <c r="AA57" s="67">
        <f>'Revenue Model'!AA35</f>
        <v/>
      </c>
      <c r="AB57" s="67">
        <f>'Revenue Model'!AB35</f>
        <v/>
      </c>
      <c r="AC57" s="67">
        <f>'Revenue Model'!AC35</f>
        <v/>
      </c>
      <c r="AD57" s="67">
        <f>'Revenue Model'!AD35</f>
        <v/>
      </c>
      <c r="AE57" s="67">
        <f>'Revenue Model'!AE35</f>
        <v/>
      </c>
      <c r="AF57" s="67">
        <f>'Revenue Model'!AF35</f>
        <v/>
      </c>
      <c r="AG57" s="67">
        <f>'Revenue Model'!AG35</f>
        <v/>
      </c>
      <c r="AH57" s="67">
        <f>'Revenue Model'!AH35</f>
        <v/>
      </c>
      <c r="AI57" s="67">
        <f>'Revenue Model'!AI35</f>
        <v/>
      </c>
      <c r="AJ57" s="67">
        <f>'Revenue Model'!AJ35</f>
        <v/>
      </c>
      <c r="AK57" s="67">
        <f>'Revenue Model'!AK35</f>
        <v/>
      </c>
      <c r="AL57" s="67">
        <f>'Revenue Model'!AL35</f>
        <v/>
      </c>
      <c r="AN57" s="58">
        <f>N57</f>
        <v/>
      </c>
      <c r="AO57" s="58">
        <f>Z57</f>
        <v/>
      </c>
      <c r="AP57" s="58">
        <f>AL57</f>
        <v/>
      </c>
    </row>
    <row r="58">
      <c r="A58" s="33" t="inlineStr">
        <is>
          <t>Net new ARR</t>
        </is>
      </c>
      <c r="B58" s="34" t="inlineStr">
        <is>
          <t>$</t>
        </is>
      </c>
      <c r="C58" s="58">
        <f>'Revenue Model'!C45-'Revenue Model'!C41</f>
        <v/>
      </c>
      <c r="D58" s="58">
        <f>'Revenue Model'!D45-'Revenue Model'!D41</f>
        <v/>
      </c>
      <c r="E58" s="58">
        <f>'Revenue Model'!E45-'Revenue Model'!E41</f>
        <v/>
      </c>
      <c r="F58" s="58">
        <f>'Revenue Model'!F45-'Revenue Model'!F41</f>
        <v/>
      </c>
      <c r="G58" s="58">
        <f>'Revenue Model'!G45-'Revenue Model'!G41</f>
        <v/>
      </c>
      <c r="H58" s="58">
        <f>'Revenue Model'!H45-'Revenue Model'!H41</f>
        <v/>
      </c>
      <c r="I58" s="58">
        <f>'Revenue Model'!I45-'Revenue Model'!I41</f>
        <v/>
      </c>
      <c r="J58" s="58">
        <f>'Revenue Model'!J45-'Revenue Model'!J41</f>
        <v/>
      </c>
      <c r="K58" s="58">
        <f>'Revenue Model'!K45-'Revenue Model'!K41</f>
        <v/>
      </c>
      <c r="L58" s="58">
        <f>'Revenue Model'!L45-'Revenue Model'!L41</f>
        <v/>
      </c>
      <c r="M58" s="58">
        <f>'Revenue Model'!M45-'Revenue Model'!M41</f>
        <v/>
      </c>
      <c r="N58" s="58">
        <f>'Revenue Model'!N45-'Revenue Model'!N41</f>
        <v/>
      </c>
      <c r="O58" s="58">
        <f>'Revenue Model'!O45-'Revenue Model'!O41</f>
        <v/>
      </c>
      <c r="P58" s="58">
        <f>'Revenue Model'!P45-'Revenue Model'!P41</f>
        <v/>
      </c>
      <c r="Q58" s="58">
        <f>'Revenue Model'!Q45-'Revenue Model'!Q41</f>
        <v/>
      </c>
      <c r="R58" s="58">
        <f>'Revenue Model'!R45-'Revenue Model'!R41</f>
        <v/>
      </c>
      <c r="S58" s="58">
        <f>'Revenue Model'!S45-'Revenue Model'!S41</f>
        <v/>
      </c>
      <c r="T58" s="58">
        <f>'Revenue Model'!T45-'Revenue Model'!T41</f>
        <v/>
      </c>
      <c r="U58" s="58">
        <f>'Revenue Model'!U45-'Revenue Model'!U41</f>
        <v/>
      </c>
      <c r="V58" s="58">
        <f>'Revenue Model'!V45-'Revenue Model'!V41</f>
        <v/>
      </c>
      <c r="W58" s="58">
        <f>'Revenue Model'!W45-'Revenue Model'!W41</f>
        <v/>
      </c>
      <c r="X58" s="58">
        <f>'Revenue Model'!X45-'Revenue Model'!X41</f>
        <v/>
      </c>
      <c r="Y58" s="58">
        <f>'Revenue Model'!Y45-'Revenue Model'!Y41</f>
        <v/>
      </c>
      <c r="Z58" s="58">
        <f>'Revenue Model'!Z45-'Revenue Model'!Z41</f>
        <v/>
      </c>
      <c r="AA58" s="58">
        <f>'Revenue Model'!AA45-'Revenue Model'!AA41</f>
        <v/>
      </c>
      <c r="AB58" s="58">
        <f>'Revenue Model'!AB45-'Revenue Model'!AB41</f>
        <v/>
      </c>
      <c r="AC58" s="58">
        <f>'Revenue Model'!AC45-'Revenue Model'!AC41</f>
        <v/>
      </c>
      <c r="AD58" s="58">
        <f>'Revenue Model'!AD45-'Revenue Model'!AD41</f>
        <v/>
      </c>
      <c r="AE58" s="58">
        <f>'Revenue Model'!AE45-'Revenue Model'!AE41</f>
        <v/>
      </c>
      <c r="AF58" s="58">
        <f>'Revenue Model'!AF45-'Revenue Model'!AF41</f>
        <v/>
      </c>
      <c r="AG58" s="58">
        <f>'Revenue Model'!AG45-'Revenue Model'!AG41</f>
        <v/>
      </c>
      <c r="AH58" s="58">
        <f>'Revenue Model'!AH45-'Revenue Model'!AH41</f>
        <v/>
      </c>
      <c r="AI58" s="58">
        <f>'Revenue Model'!AI45-'Revenue Model'!AI41</f>
        <v/>
      </c>
      <c r="AJ58" s="58">
        <f>'Revenue Model'!AJ45-'Revenue Model'!AJ41</f>
        <v/>
      </c>
      <c r="AK58" s="58">
        <f>'Revenue Model'!AK45-'Revenue Model'!AK41</f>
        <v/>
      </c>
      <c r="AL58" s="58">
        <f>'Revenue Model'!AL45-'Revenue Model'!AL41</f>
        <v/>
      </c>
      <c r="AN58" s="58">
        <f>SUM(C58:N58)</f>
        <v/>
      </c>
      <c r="AO58" s="58">
        <f>SUM(O58:Z58)</f>
        <v/>
      </c>
      <c r="AP58" s="58">
        <f>SUM(AA58:AL58)</f>
        <v/>
      </c>
    </row>
    <row r="59">
      <c r="A59" s="33" t="inlineStr">
        <is>
          <t>Revenue</t>
        </is>
      </c>
      <c r="B59" s="34" t="inlineStr">
        <is>
          <t>$</t>
        </is>
      </c>
      <c r="C59" s="67">
        <f>'Income Statement'!C7</f>
        <v/>
      </c>
      <c r="D59" s="67">
        <f>'Income Statement'!D7</f>
        <v/>
      </c>
      <c r="E59" s="67">
        <f>'Income Statement'!E7</f>
        <v/>
      </c>
      <c r="F59" s="67">
        <f>'Income Statement'!F7</f>
        <v/>
      </c>
      <c r="G59" s="67">
        <f>'Income Statement'!G7</f>
        <v/>
      </c>
      <c r="H59" s="67">
        <f>'Income Statement'!H7</f>
        <v/>
      </c>
      <c r="I59" s="67">
        <f>'Income Statement'!I7</f>
        <v/>
      </c>
      <c r="J59" s="67">
        <f>'Income Statement'!J7</f>
        <v/>
      </c>
      <c r="K59" s="67">
        <f>'Income Statement'!K7</f>
        <v/>
      </c>
      <c r="L59" s="67">
        <f>'Income Statement'!L7</f>
        <v/>
      </c>
      <c r="M59" s="67">
        <f>'Income Statement'!M7</f>
        <v/>
      </c>
      <c r="N59" s="67">
        <f>'Income Statement'!N7</f>
        <v/>
      </c>
      <c r="O59" s="67">
        <f>'Income Statement'!O7</f>
        <v/>
      </c>
      <c r="P59" s="67">
        <f>'Income Statement'!P7</f>
        <v/>
      </c>
      <c r="Q59" s="67">
        <f>'Income Statement'!Q7</f>
        <v/>
      </c>
      <c r="R59" s="67">
        <f>'Income Statement'!R7</f>
        <v/>
      </c>
      <c r="S59" s="67">
        <f>'Income Statement'!S7</f>
        <v/>
      </c>
      <c r="T59" s="67">
        <f>'Income Statement'!T7</f>
        <v/>
      </c>
      <c r="U59" s="67">
        <f>'Income Statement'!U7</f>
        <v/>
      </c>
      <c r="V59" s="67">
        <f>'Income Statement'!V7</f>
        <v/>
      </c>
      <c r="W59" s="67">
        <f>'Income Statement'!W7</f>
        <v/>
      </c>
      <c r="X59" s="67">
        <f>'Income Statement'!X7</f>
        <v/>
      </c>
      <c r="Y59" s="67">
        <f>'Income Statement'!Y7</f>
        <v/>
      </c>
      <c r="Z59" s="67">
        <f>'Income Statement'!Z7</f>
        <v/>
      </c>
      <c r="AA59" s="67">
        <f>'Income Statement'!AA7</f>
        <v/>
      </c>
      <c r="AB59" s="67">
        <f>'Income Statement'!AB7</f>
        <v/>
      </c>
      <c r="AC59" s="67">
        <f>'Income Statement'!AC7</f>
        <v/>
      </c>
      <c r="AD59" s="67">
        <f>'Income Statement'!AD7</f>
        <v/>
      </c>
      <c r="AE59" s="67">
        <f>'Income Statement'!AE7</f>
        <v/>
      </c>
      <c r="AF59" s="67">
        <f>'Income Statement'!AF7</f>
        <v/>
      </c>
      <c r="AG59" s="67">
        <f>'Income Statement'!AG7</f>
        <v/>
      </c>
      <c r="AH59" s="67">
        <f>'Income Statement'!AH7</f>
        <v/>
      </c>
      <c r="AI59" s="67">
        <f>'Income Statement'!AI7</f>
        <v/>
      </c>
      <c r="AJ59" s="67">
        <f>'Income Statement'!AJ7</f>
        <v/>
      </c>
      <c r="AK59" s="67">
        <f>'Income Statement'!AK7</f>
        <v/>
      </c>
      <c r="AL59" s="67">
        <f>'Income Statement'!AL7</f>
        <v/>
      </c>
      <c r="AN59" s="58">
        <f>SUM(C59:N59)</f>
        <v/>
      </c>
      <c r="AO59" s="58">
        <f>SUM(O59:Z59)</f>
        <v/>
      </c>
      <c r="AP59" s="58">
        <f>SUM(AA59:AL59)</f>
        <v/>
      </c>
    </row>
    <row r="60">
      <c r="A60" s="33" t="inlineStr">
        <is>
          <t>Revenue growth, year on year</t>
        </is>
      </c>
      <c r="B60" s="34" t="inlineStr">
        <is>
          <t>%</t>
        </is>
      </c>
      <c r="C60" s="70">
        <f>"n/a"</f>
        <v/>
      </c>
      <c r="D60" s="70">
        <f>"n/a"</f>
        <v/>
      </c>
      <c r="E60" s="70">
        <f>"n/a"</f>
        <v/>
      </c>
      <c r="F60" s="70">
        <f>"n/a"</f>
        <v/>
      </c>
      <c r="G60" s="70">
        <f>"n/a"</f>
        <v/>
      </c>
      <c r="H60" s="70">
        <f>"n/a"</f>
        <v/>
      </c>
      <c r="I60" s="70">
        <f>"n/a"</f>
        <v/>
      </c>
      <c r="J60" s="70">
        <f>"n/a"</f>
        <v/>
      </c>
      <c r="K60" s="70">
        <f>"n/a"</f>
        <v/>
      </c>
      <c r="L60" s="70">
        <f>"n/a"</f>
        <v/>
      </c>
      <c r="M60" s="70">
        <f>"n/a"</f>
        <v/>
      </c>
      <c r="N60" s="70">
        <f>"n/a"</f>
        <v/>
      </c>
      <c r="O60" s="70">
        <f>IFERROR(O59/C59-1,"n/a")</f>
        <v/>
      </c>
      <c r="P60" s="70">
        <f>IFERROR(P59/D59-1,"n/a")</f>
        <v/>
      </c>
      <c r="Q60" s="70">
        <f>IFERROR(Q59/E59-1,"n/a")</f>
        <v/>
      </c>
      <c r="R60" s="70">
        <f>IFERROR(R59/F59-1,"n/a")</f>
        <v/>
      </c>
      <c r="S60" s="70">
        <f>IFERROR(S59/G59-1,"n/a")</f>
        <v/>
      </c>
      <c r="T60" s="70">
        <f>IFERROR(T59/H59-1,"n/a")</f>
        <v/>
      </c>
      <c r="U60" s="70">
        <f>IFERROR(U59/I59-1,"n/a")</f>
        <v/>
      </c>
      <c r="V60" s="70">
        <f>IFERROR(V59/J59-1,"n/a")</f>
        <v/>
      </c>
      <c r="W60" s="70">
        <f>IFERROR(W59/K59-1,"n/a")</f>
        <v/>
      </c>
      <c r="X60" s="70">
        <f>IFERROR(X59/L59-1,"n/a")</f>
        <v/>
      </c>
      <c r="Y60" s="70">
        <f>IFERROR(Y59/M59-1,"n/a")</f>
        <v/>
      </c>
      <c r="Z60" s="70">
        <f>IFERROR(Z59/N59-1,"n/a")</f>
        <v/>
      </c>
      <c r="AA60" s="70">
        <f>IFERROR(AA59/O59-1,"n/a")</f>
        <v/>
      </c>
      <c r="AB60" s="70">
        <f>IFERROR(AB59/P59-1,"n/a")</f>
        <v/>
      </c>
      <c r="AC60" s="70">
        <f>IFERROR(AC59/Q59-1,"n/a")</f>
        <v/>
      </c>
      <c r="AD60" s="70">
        <f>IFERROR(AD59/R59-1,"n/a")</f>
        <v/>
      </c>
      <c r="AE60" s="70">
        <f>IFERROR(AE59/S59-1,"n/a")</f>
        <v/>
      </c>
      <c r="AF60" s="70">
        <f>IFERROR(AF59/T59-1,"n/a")</f>
        <v/>
      </c>
      <c r="AG60" s="70">
        <f>IFERROR(AG59/U59-1,"n/a")</f>
        <v/>
      </c>
      <c r="AH60" s="70">
        <f>IFERROR(AH59/V59-1,"n/a")</f>
        <v/>
      </c>
      <c r="AI60" s="70">
        <f>IFERROR(AI59/W59-1,"n/a")</f>
        <v/>
      </c>
      <c r="AJ60" s="70">
        <f>IFERROR(AJ59/X59-1,"n/a")</f>
        <v/>
      </c>
      <c r="AK60" s="70">
        <f>IFERROR(AK59/Y59-1,"n/a")</f>
        <v/>
      </c>
      <c r="AL60" s="70">
        <f>IFERROR(AL59/Z59-1,"n/a")</f>
        <v/>
      </c>
      <c r="AN60" s="70">
        <f>"n/a"</f>
        <v/>
      </c>
      <c r="AO60" s="70">
        <f>IFERROR(AO59/AN59-1,"n/a")</f>
        <v/>
      </c>
      <c r="AP60" s="70">
        <f>IFERROR(AP59/AO59-1,"n/a")</f>
        <v/>
      </c>
    </row>
    <row r="61">
      <c r="A61" s="33" t="inlineStr">
        <is>
          <t>Gross margin</t>
        </is>
      </c>
      <c r="B61" s="34" t="inlineStr">
        <is>
          <t>%</t>
        </is>
      </c>
      <c r="C61" s="77">
        <f>'Income Statement'!C10</f>
        <v/>
      </c>
      <c r="D61" s="77">
        <f>'Income Statement'!D10</f>
        <v/>
      </c>
      <c r="E61" s="77">
        <f>'Income Statement'!E10</f>
        <v/>
      </c>
      <c r="F61" s="77">
        <f>'Income Statement'!F10</f>
        <v/>
      </c>
      <c r="G61" s="77">
        <f>'Income Statement'!G10</f>
        <v/>
      </c>
      <c r="H61" s="77">
        <f>'Income Statement'!H10</f>
        <v/>
      </c>
      <c r="I61" s="77">
        <f>'Income Statement'!I10</f>
        <v/>
      </c>
      <c r="J61" s="77">
        <f>'Income Statement'!J10</f>
        <v/>
      </c>
      <c r="K61" s="77">
        <f>'Income Statement'!K10</f>
        <v/>
      </c>
      <c r="L61" s="77">
        <f>'Income Statement'!L10</f>
        <v/>
      </c>
      <c r="M61" s="77">
        <f>'Income Statement'!M10</f>
        <v/>
      </c>
      <c r="N61" s="77">
        <f>'Income Statement'!N10</f>
        <v/>
      </c>
      <c r="O61" s="77">
        <f>'Income Statement'!O10</f>
        <v/>
      </c>
      <c r="P61" s="77">
        <f>'Income Statement'!P10</f>
        <v/>
      </c>
      <c r="Q61" s="77">
        <f>'Income Statement'!Q10</f>
        <v/>
      </c>
      <c r="R61" s="77">
        <f>'Income Statement'!R10</f>
        <v/>
      </c>
      <c r="S61" s="77">
        <f>'Income Statement'!S10</f>
        <v/>
      </c>
      <c r="T61" s="77">
        <f>'Income Statement'!T10</f>
        <v/>
      </c>
      <c r="U61" s="77">
        <f>'Income Statement'!U10</f>
        <v/>
      </c>
      <c r="V61" s="77">
        <f>'Income Statement'!V10</f>
        <v/>
      </c>
      <c r="W61" s="77">
        <f>'Income Statement'!W10</f>
        <v/>
      </c>
      <c r="X61" s="77">
        <f>'Income Statement'!X10</f>
        <v/>
      </c>
      <c r="Y61" s="77">
        <f>'Income Statement'!Y10</f>
        <v/>
      </c>
      <c r="Z61" s="77">
        <f>'Income Statement'!Z10</f>
        <v/>
      </c>
      <c r="AA61" s="77">
        <f>'Income Statement'!AA10</f>
        <v/>
      </c>
      <c r="AB61" s="77">
        <f>'Income Statement'!AB10</f>
        <v/>
      </c>
      <c r="AC61" s="77">
        <f>'Income Statement'!AC10</f>
        <v/>
      </c>
      <c r="AD61" s="77">
        <f>'Income Statement'!AD10</f>
        <v/>
      </c>
      <c r="AE61" s="77">
        <f>'Income Statement'!AE10</f>
        <v/>
      </c>
      <c r="AF61" s="77">
        <f>'Income Statement'!AF10</f>
        <v/>
      </c>
      <c r="AG61" s="77">
        <f>'Income Statement'!AG10</f>
        <v/>
      </c>
      <c r="AH61" s="77">
        <f>'Income Statement'!AH10</f>
        <v/>
      </c>
      <c r="AI61" s="77">
        <f>'Income Statement'!AI10</f>
        <v/>
      </c>
      <c r="AJ61" s="77">
        <f>'Income Statement'!AJ10</f>
        <v/>
      </c>
      <c r="AK61" s="77">
        <f>'Income Statement'!AK10</f>
        <v/>
      </c>
      <c r="AL61" s="77">
        <f>'Income Statement'!AL10</f>
        <v/>
      </c>
      <c r="AN61" s="70">
        <f>IFERROR(('Income Statement'!AN9)/('Income Statement'!AN7),0)</f>
        <v/>
      </c>
      <c r="AO61" s="70">
        <f>IFERROR(('Income Statement'!AO9)/('Income Statement'!AO7),0)</f>
        <v/>
      </c>
      <c r="AP61" s="70">
        <f>IFERROR(('Income Statement'!AP9)/('Income Statement'!AP7),0)</f>
        <v/>
      </c>
    </row>
    <row r="62">
      <c r="A62" s="33" t="inlineStr">
        <is>
          <t>EBITDA margin</t>
        </is>
      </c>
      <c r="B62" s="34" t="inlineStr">
        <is>
          <t>%</t>
        </is>
      </c>
      <c r="C62" s="77">
        <f>'Income Statement'!C18</f>
        <v/>
      </c>
      <c r="D62" s="77">
        <f>'Income Statement'!D18</f>
        <v/>
      </c>
      <c r="E62" s="77">
        <f>'Income Statement'!E18</f>
        <v/>
      </c>
      <c r="F62" s="77">
        <f>'Income Statement'!F18</f>
        <v/>
      </c>
      <c r="G62" s="77">
        <f>'Income Statement'!G18</f>
        <v/>
      </c>
      <c r="H62" s="77">
        <f>'Income Statement'!H18</f>
        <v/>
      </c>
      <c r="I62" s="77">
        <f>'Income Statement'!I18</f>
        <v/>
      </c>
      <c r="J62" s="77">
        <f>'Income Statement'!J18</f>
        <v/>
      </c>
      <c r="K62" s="77">
        <f>'Income Statement'!K18</f>
        <v/>
      </c>
      <c r="L62" s="77">
        <f>'Income Statement'!L18</f>
        <v/>
      </c>
      <c r="M62" s="77">
        <f>'Income Statement'!M18</f>
        <v/>
      </c>
      <c r="N62" s="77">
        <f>'Income Statement'!N18</f>
        <v/>
      </c>
      <c r="O62" s="77">
        <f>'Income Statement'!O18</f>
        <v/>
      </c>
      <c r="P62" s="77">
        <f>'Income Statement'!P18</f>
        <v/>
      </c>
      <c r="Q62" s="77">
        <f>'Income Statement'!Q18</f>
        <v/>
      </c>
      <c r="R62" s="77">
        <f>'Income Statement'!R18</f>
        <v/>
      </c>
      <c r="S62" s="77">
        <f>'Income Statement'!S18</f>
        <v/>
      </c>
      <c r="T62" s="77">
        <f>'Income Statement'!T18</f>
        <v/>
      </c>
      <c r="U62" s="77">
        <f>'Income Statement'!U18</f>
        <v/>
      </c>
      <c r="V62" s="77">
        <f>'Income Statement'!V18</f>
        <v/>
      </c>
      <c r="W62" s="77">
        <f>'Income Statement'!W18</f>
        <v/>
      </c>
      <c r="X62" s="77">
        <f>'Income Statement'!X18</f>
        <v/>
      </c>
      <c r="Y62" s="77">
        <f>'Income Statement'!Y18</f>
        <v/>
      </c>
      <c r="Z62" s="77">
        <f>'Income Statement'!Z18</f>
        <v/>
      </c>
      <c r="AA62" s="77">
        <f>'Income Statement'!AA18</f>
        <v/>
      </c>
      <c r="AB62" s="77">
        <f>'Income Statement'!AB18</f>
        <v/>
      </c>
      <c r="AC62" s="77">
        <f>'Income Statement'!AC18</f>
        <v/>
      </c>
      <c r="AD62" s="77">
        <f>'Income Statement'!AD18</f>
        <v/>
      </c>
      <c r="AE62" s="77">
        <f>'Income Statement'!AE18</f>
        <v/>
      </c>
      <c r="AF62" s="77">
        <f>'Income Statement'!AF18</f>
        <v/>
      </c>
      <c r="AG62" s="77">
        <f>'Income Statement'!AG18</f>
        <v/>
      </c>
      <c r="AH62" s="77">
        <f>'Income Statement'!AH18</f>
        <v/>
      </c>
      <c r="AI62" s="77">
        <f>'Income Statement'!AI18</f>
        <v/>
      </c>
      <c r="AJ62" s="77">
        <f>'Income Statement'!AJ18</f>
        <v/>
      </c>
      <c r="AK62" s="77">
        <f>'Income Statement'!AK18</f>
        <v/>
      </c>
      <c r="AL62" s="77">
        <f>'Income Statement'!AL18</f>
        <v/>
      </c>
      <c r="AN62" s="70">
        <f>IFERROR(AN63/AN59,0)</f>
        <v/>
      </c>
      <c r="AO62" s="70">
        <f>IFERROR(AO63/AO59,0)</f>
        <v/>
      </c>
      <c r="AP62" s="70">
        <f>IFERROR(AP63/AP59,0)</f>
        <v/>
      </c>
    </row>
    <row r="63">
      <c r="A63" s="33" t="inlineStr">
        <is>
          <t>EBITDA</t>
        </is>
      </c>
      <c r="B63" s="34" t="inlineStr">
        <is>
          <t>$</t>
        </is>
      </c>
      <c r="C63" s="67">
        <f>'Income Statement'!C17</f>
        <v/>
      </c>
      <c r="D63" s="67">
        <f>'Income Statement'!D17</f>
        <v/>
      </c>
      <c r="E63" s="67">
        <f>'Income Statement'!E17</f>
        <v/>
      </c>
      <c r="F63" s="67">
        <f>'Income Statement'!F17</f>
        <v/>
      </c>
      <c r="G63" s="67">
        <f>'Income Statement'!G17</f>
        <v/>
      </c>
      <c r="H63" s="67">
        <f>'Income Statement'!H17</f>
        <v/>
      </c>
      <c r="I63" s="67">
        <f>'Income Statement'!I17</f>
        <v/>
      </c>
      <c r="J63" s="67">
        <f>'Income Statement'!J17</f>
        <v/>
      </c>
      <c r="K63" s="67">
        <f>'Income Statement'!K17</f>
        <v/>
      </c>
      <c r="L63" s="67">
        <f>'Income Statement'!L17</f>
        <v/>
      </c>
      <c r="M63" s="67">
        <f>'Income Statement'!M17</f>
        <v/>
      </c>
      <c r="N63" s="67">
        <f>'Income Statement'!N17</f>
        <v/>
      </c>
      <c r="O63" s="67">
        <f>'Income Statement'!O17</f>
        <v/>
      </c>
      <c r="P63" s="67">
        <f>'Income Statement'!P17</f>
        <v/>
      </c>
      <c r="Q63" s="67">
        <f>'Income Statement'!Q17</f>
        <v/>
      </c>
      <c r="R63" s="67">
        <f>'Income Statement'!R17</f>
        <v/>
      </c>
      <c r="S63" s="67">
        <f>'Income Statement'!S17</f>
        <v/>
      </c>
      <c r="T63" s="67">
        <f>'Income Statement'!T17</f>
        <v/>
      </c>
      <c r="U63" s="67">
        <f>'Income Statement'!U17</f>
        <v/>
      </c>
      <c r="V63" s="67">
        <f>'Income Statement'!V17</f>
        <v/>
      </c>
      <c r="W63" s="67">
        <f>'Income Statement'!W17</f>
        <v/>
      </c>
      <c r="X63" s="67">
        <f>'Income Statement'!X17</f>
        <v/>
      </c>
      <c r="Y63" s="67">
        <f>'Income Statement'!Y17</f>
        <v/>
      </c>
      <c r="Z63" s="67">
        <f>'Income Statement'!Z17</f>
        <v/>
      </c>
      <c r="AA63" s="67">
        <f>'Income Statement'!AA17</f>
        <v/>
      </c>
      <c r="AB63" s="67">
        <f>'Income Statement'!AB17</f>
        <v/>
      </c>
      <c r="AC63" s="67">
        <f>'Income Statement'!AC17</f>
        <v/>
      </c>
      <c r="AD63" s="67">
        <f>'Income Statement'!AD17</f>
        <v/>
      </c>
      <c r="AE63" s="67">
        <f>'Income Statement'!AE17</f>
        <v/>
      </c>
      <c r="AF63" s="67">
        <f>'Income Statement'!AF17</f>
        <v/>
      </c>
      <c r="AG63" s="67">
        <f>'Income Statement'!AG17</f>
        <v/>
      </c>
      <c r="AH63" s="67">
        <f>'Income Statement'!AH17</f>
        <v/>
      </c>
      <c r="AI63" s="67">
        <f>'Income Statement'!AI17</f>
        <v/>
      </c>
      <c r="AJ63" s="67">
        <f>'Income Statement'!AJ17</f>
        <v/>
      </c>
      <c r="AK63" s="67">
        <f>'Income Statement'!AK17</f>
        <v/>
      </c>
      <c r="AL63" s="67">
        <f>'Income Statement'!AL17</f>
        <v/>
      </c>
      <c r="AN63" s="58">
        <f>SUM(C63:N63)</f>
        <v/>
      </c>
      <c r="AO63" s="58">
        <f>SUM(O63:Z63)</f>
        <v/>
      </c>
      <c r="AP63" s="58">
        <f>SUM(AA63:AL63)</f>
        <v/>
      </c>
    </row>
    <row r="64">
      <c r="A64" s="33" t="inlineStr">
        <is>
          <t>Net revenue retention (annualised)</t>
        </is>
      </c>
      <c r="B64" s="34" t="inlineStr">
        <is>
          <t>%</t>
        </is>
      </c>
      <c r="C64" s="70">
        <f>IFERROR(((('Revenue Model'!C14+'Revenue Model'!C27)+('Revenue Model'!C16+'Revenue Model'!C29)+('Revenue Model'!C17+'Revenue Model'!C30))/('Revenue Model'!C14+'Revenue Model'!C27))^12,"n/a")</f>
        <v/>
      </c>
      <c r="D64" s="70">
        <f>IFERROR(((('Revenue Model'!D14+'Revenue Model'!D27)+('Revenue Model'!D16+'Revenue Model'!D29)+('Revenue Model'!D17+'Revenue Model'!D30))/('Revenue Model'!D14+'Revenue Model'!D27))^12,"n/a")</f>
        <v/>
      </c>
      <c r="E64" s="70">
        <f>IFERROR(((('Revenue Model'!E14+'Revenue Model'!E27)+('Revenue Model'!E16+'Revenue Model'!E29)+('Revenue Model'!E17+'Revenue Model'!E30))/('Revenue Model'!E14+'Revenue Model'!E27))^12,"n/a")</f>
        <v/>
      </c>
      <c r="F64" s="70">
        <f>IFERROR(((('Revenue Model'!F14+'Revenue Model'!F27)+('Revenue Model'!F16+'Revenue Model'!F29)+('Revenue Model'!F17+'Revenue Model'!F30))/('Revenue Model'!F14+'Revenue Model'!F27))^12,"n/a")</f>
        <v/>
      </c>
      <c r="G64" s="70">
        <f>IFERROR(((('Revenue Model'!G14+'Revenue Model'!G27)+('Revenue Model'!G16+'Revenue Model'!G29)+('Revenue Model'!G17+'Revenue Model'!G30))/('Revenue Model'!G14+'Revenue Model'!G27))^12,"n/a")</f>
        <v/>
      </c>
      <c r="H64" s="70">
        <f>IFERROR(((('Revenue Model'!H14+'Revenue Model'!H27)+('Revenue Model'!H16+'Revenue Model'!H29)+('Revenue Model'!H17+'Revenue Model'!H30))/('Revenue Model'!H14+'Revenue Model'!H27))^12,"n/a")</f>
        <v/>
      </c>
      <c r="I64" s="70">
        <f>IFERROR(((('Revenue Model'!I14+'Revenue Model'!I27)+('Revenue Model'!I16+'Revenue Model'!I29)+('Revenue Model'!I17+'Revenue Model'!I30))/('Revenue Model'!I14+'Revenue Model'!I27))^12,"n/a")</f>
        <v/>
      </c>
      <c r="J64" s="70">
        <f>IFERROR(((('Revenue Model'!J14+'Revenue Model'!J27)+('Revenue Model'!J16+'Revenue Model'!J29)+('Revenue Model'!J17+'Revenue Model'!J30))/('Revenue Model'!J14+'Revenue Model'!J27))^12,"n/a")</f>
        <v/>
      </c>
      <c r="K64" s="70">
        <f>IFERROR(((('Revenue Model'!K14+'Revenue Model'!K27)+('Revenue Model'!K16+'Revenue Model'!K29)+('Revenue Model'!K17+'Revenue Model'!K30))/('Revenue Model'!K14+'Revenue Model'!K27))^12,"n/a")</f>
        <v/>
      </c>
      <c r="L64" s="70">
        <f>IFERROR(((('Revenue Model'!L14+'Revenue Model'!L27)+('Revenue Model'!L16+'Revenue Model'!L29)+('Revenue Model'!L17+'Revenue Model'!L30))/('Revenue Model'!L14+'Revenue Model'!L27))^12,"n/a")</f>
        <v/>
      </c>
      <c r="M64" s="70">
        <f>IFERROR(((('Revenue Model'!M14+'Revenue Model'!M27)+('Revenue Model'!M16+'Revenue Model'!M29)+('Revenue Model'!M17+'Revenue Model'!M30))/('Revenue Model'!M14+'Revenue Model'!M27))^12,"n/a")</f>
        <v/>
      </c>
      <c r="N64" s="70">
        <f>IFERROR(((('Revenue Model'!N14+'Revenue Model'!N27)+('Revenue Model'!N16+'Revenue Model'!N29)+('Revenue Model'!N17+'Revenue Model'!N30))/('Revenue Model'!N14+'Revenue Model'!N27))^12,"n/a")</f>
        <v/>
      </c>
      <c r="O64" s="70">
        <f>IFERROR(((('Revenue Model'!O14+'Revenue Model'!O27)+('Revenue Model'!O16+'Revenue Model'!O29)+('Revenue Model'!O17+'Revenue Model'!O30))/('Revenue Model'!O14+'Revenue Model'!O27))^12,"n/a")</f>
        <v/>
      </c>
      <c r="P64" s="70">
        <f>IFERROR(((('Revenue Model'!P14+'Revenue Model'!P27)+('Revenue Model'!P16+'Revenue Model'!P29)+('Revenue Model'!P17+'Revenue Model'!P30))/('Revenue Model'!P14+'Revenue Model'!P27))^12,"n/a")</f>
        <v/>
      </c>
      <c r="Q64" s="70">
        <f>IFERROR(((('Revenue Model'!Q14+'Revenue Model'!Q27)+('Revenue Model'!Q16+'Revenue Model'!Q29)+('Revenue Model'!Q17+'Revenue Model'!Q30))/('Revenue Model'!Q14+'Revenue Model'!Q27))^12,"n/a")</f>
        <v/>
      </c>
      <c r="R64" s="70">
        <f>IFERROR(((('Revenue Model'!R14+'Revenue Model'!R27)+('Revenue Model'!R16+'Revenue Model'!R29)+('Revenue Model'!R17+'Revenue Model'!R30))/('Revenue Model'!R14+'Revenue Model'!R27))^12,"n/a")</f>
        <v/>
      </c>
      <c r="S64" s="70">
        <f>IFERROR(((('Revenue Model'!S14+'Revenue Model'!S27)+('Revenue Model'!S16+'Revenue Model'!S29)+('Revenue Model'!S17+'Revenue Model'!S30))/('Revenue Model'!S14+'Revenue Model'!S27))^12,"n/a")</f>
        <v/>
      </c>
      <c r="T64" s="70">
        <f>IFERROR(((('Revenue Model'!T14+'Revenue Model'!T27)+('Revenue Model'!T16+'Revenue Model'!T29)+('Revenue Model'!T17+'Revenue Model'!T30))/('Revenue Model'!T14+'Revenue Model'!T27))^12,"n/a")</f>
        <v/>
      </c>
      <c r="U64" s="70">
        <f>IFERROR(((('Revenue Model'!U14+'Revenue Model'!U27)+('Revenue Model'!U16+'Revenue Model'!U29)+('Revenue Model'!U17+'Revenue Model'!U30))/('Revenue Model'!U14+'Revenue Model'!U27))^12,"n/a")</f>
        <v/>
      </c>
      <c r="V64" s="70">
        <f>IFERROR(((('Revenue Model'!V14+'Revenue Model'!V27)+('Revenue Model'!V16+'Revenue Model'!V29)+('Revenue Model'!V17+'Revenue Model'!V30))/('Revenue Model'!V14+'Revenue Model'!V27))^12,"n/a")</f>
        <v/>
      </c>
      <c r="W64" s="70">
        <f>IFERROR(((('Revenue Model'!W14+'Revenue Model'!W27)+('Revenue Model'!W16+'Revenue Model'!W29)+('Revenue Model'!W17+'Revenue Model'!W30))/('Revenue Model'!W14+'Revenue Model'!W27))^12,"n/a")</f>
        <v/>
      </c>
      <c r="X64" s="70">
        <f>IFERROR(((('Revenue Model'!X14+'Revenue Model'!X27)+('Revenue Model'!X16+'Revenue Model'!X29)+('Revenue Model'!X17+'Revenue Model'!X30))/('Revenue Model'!X14+'Revenue Model'!X27))^12,"n/a")</f>
        <v/>
      </c>
      <c r="Y64" s="70">
        <f>IFERROR(((('Revenue Model'!Y14+'Revenue Model'!Y27)+('Revenue Model'!Y16+'Revenue Model'!Y29)+('Revenue Model'!Y17+'Revenue Model'!Y30))/('Revenue Model'!Y14+'Revenue Model'!Y27))^12,"n/a")</f>
        <v/>
      </c>
      <c r="Z64" s="70">
        <f>IFERROR(((('Revenue Model'!Z14+'Revenue Model'!Z27)+('Revenue Model'!Z16+'Revenue Model'!Z29)+('Revenue Model'!Z17+'Revenue Model'!Z30))/('Revenue Model'!Z14+'Revenue Model'!Z27))^12,"n/a")</f>
        <v/>
      </c>
      <c r="AA64" s="70">
        <f>IFERROR(((('Revenue Model'!AA14+'Revenue Model'!AA27)+('Revenue Model'!AA16+'Revenue Model'!AA29)+('Revenue Model'!AA17+'Revenue Model'!AA30))/('Revenue Model'!AA14+'Revenue Model'!AA27))^12,"n/a")</f>
        <v/>
      </c>
      <c r="AB64" s="70">
        <f>IFERROR(((('Revenue Model'!AB14+'Revenue Model'!AB27)+('Revenue Model'!AB16+'Revenue Model'!AB29)+('Revenue Model'!AB17+'Revenue Model'!AB30))/('Revenue Model'!AB14+'Revenue Model'!AB27))^12,"n/a")</f>
        <v/>
      </c>
      <c r="AC64" s="70">
        <f>IFERROR(((('Revenue Model'!AC14+'Revenue Model'!AC27)+('Revenue Model'!AC16+'Revenue Model'!AC29)+('Revenue Model'!AC17+'Revenue Model'!AC30))/('Revenue Model'!AC14+'Revenue Model'!AC27))^12,"n/a")</f>
        <v/>
      </c>
      <c r="AD64" s="70">
        <f>IFERROR(((('Revenue Model'!AD14+'Revenue Model'!AD27)+('Revenue Model'!AD16+'Revenue Model'!AD29)+('Revenue Model'!AD17+'Revenue Model'!AD30))/('Revenue Model'!AD14+'Revenue Model'!AD27))^12,"n/a")</f>
        <v/>
      </c>
      <c r="AE64" s="70">
        <f>IFERROR(((('Revenue Model'!AE14+'Revenue Model'!AE27)+('Revenue Model'!AE16+'Revenue Model'!AE29)+('Revenue Model'!AE17+'Revenue Model'!AE30))/('Revenue Model'!AE14+'Revenue Model'!AE27))^12,"n/a")</f>
        <v/>
      </c>
      <c r="AF64" s="70">
        <f>IFERROR(((('Revenue Model'!AF14+'Revenue Model'!AF27)+('Revenue Model'!AF16+'Revenue Model'!AF29)+('Revenue Model'!AF17+'Revenue Model'!AF30))/('Revenue Model'!AF14+'Revenue Model'!AF27))^12,"n/a")</f>
        <v/>
      </c>
      <c r="AG64" s="70">
        <f>IFERROR(((('Revenue Model'!AG14+'Revenue Model'!AG27)+('Revenue Model'!AG16+'Revenue Model'!AG29)+('Revenue Model'!AG17+'Revenue Model'!AG30))/('Revenue Model'!AG14+'Revenue Model'!AG27))^12,"n/a")</f>
        <v/>
      </c>
      <c r="AH64" s="70">
        <f>IFERROR(((('Revenue Model'!AH14+'Revenue Model'!AH27)+('Revenue Model'!AH16+'Revenue Model'!AH29)+('Revenue Model'!AH17+'Revenue Model'!AH30))/('Revenue Model'!AH14+'Revenue Model'!AH27))^12,"n/a")</f>
        <v/>
      </c>
      <c r="AI64" s="70">
        <f>IFERROR(((('Revenue Model'!AI14+'Revenue Model'!AI27)+('Revenue Model'!AI16+'Revenue Model'!AI29)+('Revenue Model'!AI17+'Revenue Model'!AI30))/('Revenue Model'!AI14+'Revenue Model'!AI27))^12,"n/a")</f>
        <v/>
      </c>
      <c r="AJ64" s="70">
        <f>IFERROR(((('Revenue Model'!AJ14+'Revenue Model'!AJ27)+('Revenue Model'!AJ16+'Revenue Model'!AJ29)+('Revenue Model'!AJ17+'Revenue Model'!AJ30))/('Revenue Model'!AJ14+'Revenue Model'!AJ27))^12,"n/a")</f>
        <v/>
      </c>
      <c r="AK64" s="70">
        <f>IFERROR(((('Revenue Model'!AK14+'Revenue Model'!AK27)+('Revenue Model'!AK16+'Revenue Model'!AK29)+('Revenue Model'!AK17+'Revenue Model'!AK30))/('Revenue Model'!AK14+'Revenue Model'!AK27))^12,"n/a")</f>
        <v/>
      </c>
      <c r="AL64" s="70">
        <f>IFERROR(((('Revenue Model'!AL14+'Revenue Model'!AL27)+('Revenue Model'!AL16+'Revenue Model'!AL29)+('Revenue Model'!AL17+'Revenue Model'!AL30))/('Revenue Model'!AL14+'Revenue Model'!AL27))^12,"n/a")</f>
        <v/>
      </c>
    </row>
    <row r="65">
      <c r="A65" s="33" t="inlineStr">
        <is>
          <t>Gross revenue retention (annualised)</t>
        </is>
      </c>
      <c r="B65" s="34" t="inlineStr">
        <is>
          <t>%</t>
        </is>
      </c>
      <c r="C65" s="70">
        <f>IFERROR(((('Revenue Model'!C14+'Revenue Model'!C27)+('Revenue Model'!C17+'Revenue Model'!C30))/('Revenue Model'!C14+'Revenue Model'!C27))^12,"n/a")</f>
        <v/>
      </c>
      <c r="D65" s="70">
        <f>IFERROR(((('Revenue Model'!D14+'Revenue Model'!D27)+('Revenue Model'!D17+'Revenue Model'!D30))/('Revenue Model'!D14+'Revenue Model'!D27))^12,"n/a")</f>
        <v/>
      </c>
      <c r="E65" s="70">
        <f>IFERROR(((('Revenue Model'!E14+'Revenue Model'!E27)+('Revenue Model'!E17+'Revenue Model'!E30))/('Revenue Model'!E14+'Revenue Model'!E27))^12,"n/a")</f>
        <v/>
      </c>
      <c r="F65" s="70">
        <f>IFERROR(((('Revenue Model'!F14+'Revenue Model'!F27)+('Revenue Model'!F17+'Revenue Model'!F30))/('Revenue Model'!F14+'Revenue Model'!F27))^12,"n/a")</f>
        <v/>
      </c>
      <c r="G65" s="70">
        <f>IFERROR(((('Revenue Model'!G14+'Revenue Model'!G27)+('Revenue Model'!G17+'Revenue Model'!G30))/('Revenue Model'!G14+'Revenue Model'!G27))^12,"n/a")</f>
        <v/>
      </c>
      <c r="H65" s="70">
        <f>IFERROR(((('Revenue Model'!H14+'Revenue Model'!H27)+('Revenue Model'!H17+'Revenue Model'!H30))/('Revenue Model'!H14+'Revenue Model'!H27))^12,"n/a")</f>
        <v/>
      </c>
      <c r="I65" s="70">
        <f>IFERROR(((('Revenue Model'!I14+'Revenue Model'!I27)+('Revenue Model'!I17+'Revenue Model'!I30))/('Revenue Model'!I14+'Revenue Model'!I27))^12,"n/a")</f>
        <v/>
      </c>
      <c r="J65" s="70">
        <f>IFERROR(((('Revenue Model'!J14+'Revenue Model'!J27)+('Revenue Model'!J17+'Revenue Model'!J30))/('Revenue Model'!J14+'Revenue Model'!J27))^12,"n/a")</f>
        <v/>
      </c>
      <c r="K65" s="70">
        <f>IFERROR(((('Revenue Model'!K14+'Revenue Model'!K27)+('Revenue Model'!K17+'Revenue Model'!K30))/('Revenue Model'!K14+'Revenue Model'!K27))^12,"n/a")</f>
        <v/>
      </c>
      <c r="L65" s="70">
        <f>IFERROR(((('Revenue Model'!L14+'Revenue Model'!L27)+('Revenue Model'!L17+'Revenue Model'!L30))/('Revenue Model'!L14+'Revenue Model'!L27))^12,"n/a")</f>
        <v/>
      </c>
      <c r="M65" s="70">
        <f>IFERROR(((('Revenue Model'!M14+'Revenue Model'!M27)+('Revenue Model'!M17+'Revenue Model'!M30))/('Revenue Model'!M14+'Revenue Model'!M27))^12,"n/a")</f>
        <v/>
      </c>
      <c r="N65" s="70">
        <f>IFERROR(((('Revenue Model'!N14+'Revenue Model'!N27)+('Revenue Model'!N17+'Revenue Model'!N30))/('Revenue Model'!N14+'Revenue Model'!N27))^12,"n/a")</f>
        <v/>
      </c>
      <c r="O65" s="70">
        <f>IFERROR(((('Revenue Model'!O14+'Revenue Model'!O27)+('Revenue Model'!O17+'Revenue Model'!O30))/('Revenue Model'!O14+'Revenue Model'!O27))^12,"n/a")</f>
        <v/>
      </c>
      <c r="P65" s="70">
        <f>IFERROR(((('Revenue Model'!P14+'Revenue Model'!P27)+('Revenue Model'!P17+'Revenue Model'!P30))/('Revenue Model'!P14+'Revenue Model'!P27))^12,"n/a")</f>
        <v/>
      </c>
      <c r="Q65" s="70">
        <f>IFERROR(((('Revenue Model'!Q14+'Revenue Model'!Q27)+('Revenue Model'!Q17+'Revenue Model'!Q30))/('Revenue Model'!Q14+'Revenue Model'!Q27))^12,"n/a")</f>
        <v/>
      </c>
      <c r="R65" s="70">
        <f>IFERROR(((('Revenue Model'!R14+'Revenue Model'!R27)+('Revenue Model'!R17+'Revenue Model'!R30))/('Revenue Model'!R14+'Revenue Model'!R27))^12,"n/a")</f>
        <v/>
      </c>
      <c r="S65" s="70">
        <f>IFERROR(((('Revenue Model'!S14+'Revenue Model'!S27)+('Revenue Model'!S17+'Revenue Model'!S30))/('Revenue Model'!S14+'Revenue Model'!S27))^12,"n/a")</f>
        <v/>
      </c>
      <c r="T65" s="70">
        <f>IFERROR(((('Revenue Model'!T14+'Revenue Model'!T27)+('Revenue Model'!T17+'Revenue Model'!T30))/('Revenue Model'!T14+'Revenue Model'!T27))^12,"n/a")</f>
        <v/>
      </c>
      <c r="U65" s="70">
        <f>IFERROR(((('Revenue Model'!U14+'Revenue Model'!U27)+('Revenue Model'!U17+'Revenue Model'!U30))/('Revenue Model'!U14+'Revenue Model'!U27))^12,"n/a")</f>
        <v/>
      </c>
      <c r="V65" s="70">
        <f>IFERROR(((('Revenue Model'!V14+'Revenue Model'!V27)+('Revenue Model'!V17+'Revenue Model'!V30))/('Revenue Model'!V14+'Revenue Model'!V27))^12,"n/a")</f>
        <v/>
      </c>
      <c r="W65" s="70">
        <f>IFERROR(((('Revenue Model'!W14+'Revenue Model'!W27)+('Revenue Model'!W17+'Revenue Model'!W30))/('Revenue Model'!W14+'Revenue Model'!W27))^12,"n/a")</f>
        <v/>
      </c>
      <c r="X65" s="70">
        <f>IFERROR(((('Revenue Model'!X14+'Revenue Model'!X27)+('Revenue Model'!X17+'Revenue Model'!X30))/('Revenue Model'!X14+'Revenue Model'!X27))^12,"n/a")</f>
        <v/>
      </c>
      <c r="Y65" s="70">
        <f>IFERROR(((('Revenue Model'!Y14+'Revenue Model'!Y27)+('Revenue Model'!Y17+'Revenue Model'!Y30))/('Revenue Model'!Y14+'Revenue Model'!Y27))^12,"n/a")</f>
        <v/>
      </c>
      <c r="Z65" s="70">
        <f>IFERROR(((('Revenue Model'!Z14+'Revenue Model'!Z27)+('Revenue Model'!Z17+'Revenue Model'!Z30))/('Revenue Model'!Z14+'Revenue Model'!Z27))^12,"n/a")</f>
        <v/>
      </c>
      <c r="AA65" s="70">
        <f>IFERROR(((('Revenue Model'!AA14+'Revenue Model'!AA27)+('Revenue Model'!AA17+'Revenue Model'!AA30))/('Revenue Model'!AA14+'Revenue Model'!AA27))^12,"n/a")</f>
        <v/>
      </c>
      <c r="AB65" s="70">
        <f>IFERROR(((('Revenue Model'!AB14+'Revenue Model'!AB27)+('Revenue Model'!AB17+'Revenue Model'!AB30))/('Revenue Model'!AB14+'Revenue Model'!AB27))^12,"n/a")</f>
        <v/>
      </c>
      <c r="AC65" s="70">
        <f>IFERROR(((('Revenue Model'!AC14+'Revenue Model'!AC27)+('Revenue Model'!AC17+'Revenue Model'!AC30))/('Revenue Model'!AC14+'Revenue Model'!AC27))^12,"n/a")</f>
        <v/>
      </c>
      <c r="AD65" s="70">
        <f>IFERROR(((('Revenue Model'!AD14+'Revenue Model'!AD27)+('Revenue Model'!AD17+'Revenue Model'!AD30))/('Revenue Model'!AD14+'Revenue Model'!AD27))^12,"n/a")</f>
        <v/>
      </c>
      <c r="AE65" s="70">
        <f>IFERROR(((('Revenue Model'!AE14+'Revenue Model'!AE27)+('Revenue Model'!AE17+'Revenue Model'!AE30))/('Revenue Model'!AE14+'Revenue Model'!AE27))^12,"n/a")</f>
        <v/>
      </c>
      <c r="AF65" s="70">
        <f>IFERROR(((('Revenue Model'!AF14+'Revenue Model'!AF27)+('Revenue Model'!AF17+'Revenue Model'!AF30))/('Revenue Model'!AF14+'Revenue Model'!AF27))^12,"n/a")</f>
        <v/>
      </c>
      <c r="AG65" s="70">
        <f>IFERROR(((('Revenue Model'!AG14+'Revenue Model'!AG27)+('Revenue Model'!AG17+'Revenue Model'!AG30))/('Revenue Model'!AG14+'Revenue Model'!AG27))^12,"n/a")</f>
        <v/>
      </c>
      <c r="AH65" s="70">
        <f>IFERROR(((('Revenue Model'!AH14+'Revenue Model'!AH27)+('Revenue Model'!AH17+'Revenue Model'!AH30))/('Revenue Model'!AH14+'Revenue Model'!AH27))^12,"n/a")</f>
        <v/>
      </c>
      <c r="AI65" s="70">
        <f>IFERROR(((('Revenue Model'!AI14+'Revenue Model'!AI27)+('Revenue Model'!AI17+'Revenue Model'!AI30))/('Revenue Model'!AI14+'Revenue Model'!AI27))^12,"n/a")</f>
        <v/>
      </c>
      <c r="AJ65" s="70">
        <f>IFERROR(((('Revenue Model'!AJ14+'Revenue Model'!AJ27)+('Revenue Model'!AJ17+'Revenue Model'!AJ30))/('Revenue Model'!AJ14+'Revenue Model'!AJ27))^12,"n/a")</f>
        <v/>
      </c>
      <c r="AK65" s="70">
        <f>IFERROR(((('Revenue Model'!AK14+'Revenue Model'!AK27)+('Revenue Model'!AK17+'Revenue Model'!AK30))/('Revenue Model'!AK14+'Revenue Model'!AK27))^12,"n/a")</f>
        <v/>
      </c>
      <c r="AL65" s="70">
        <f>IFERROR(((('Revenue Model'!AL14+'Revenue Model'!AL27)+('Revenue Model'!AL17+'Revenue Model'!AL30))/('Revenue Model'!AL14+'Revenue Model'!AL27))^12,"n/a")</f>
        <v/>
      </c>
    </row>
    <row r="66">
      <c r="A66" s="33" t="inlineStr">
        <is>
          <t>New customers</t>
        </is>
      </c>
      <c r="B66" s="34" t="inlineStr">
        <is>
          <t>#</t>
        </is>
      </c>
      <c r="C66" s="56">
        <f>'Revenue Model'!C9+'Revenue Model'!C22</f>
        <v/>
      </c>
      <c r="D66" s="56">
        <f>'Revenue Model'!D9+'Revenue Model'!D22</f>
        <v/>
      </c>
      <c r="E66" s="56">
        <f>'Revenue Model'!E9+'Revenue Model'!E22</f>
        <v/>
      </c>
      <c r="F66" s="56">
        <f>'Revenue Model'!F9+'Revenue Model'!F22</f>
        <v/>
      </c>
      <c r="G66" s="56">
        <f>'Revenue Model'!G9+'Revenue Model'!G22</f>
        <v/>
      </c>
      <c r="H66" s="56">
        <f>'Revenue Model'!H9+'Revenue Model'!H22</f>
        <v/>
      </c>
      <c r="I66" s="56">
        <f>'Revenue Model'!I9+'Revenue Model'!I22</f>
        <v/>
      </c>
      <c r="J66" s="56">
        <f>'Revenue Model'!J9+'Revenue Model'!J22</f>
        <v/>
      </c>
      <c r="K66" s="56">
        <f>'Revenue Model'!K9+'Revenue Model'!K22</f>
        <v/>
      </c>
      <c r="L66" s="56">
        <f>'Revenue Model'!L9+'Revenue Model'!L22</f>
        <v/>
      </c>
      <c r="M66" s="56">
        <f>'Revenue Model'!M9+'Revenue Model'!M22</f>
        <v/>
      </c>
      <c r="N66" s="56">
        <f>'Revenue Model'!N9+'Revenue Model'!N22</f>
        <v/>
      </c>
      <c r="O66" s="56">
        <f>'Revenue Model'!O9+'Revenue Model'!O22</f>
        <v/>
      </c>
      <c r="P66" s="56">
        <f>'Revenue Model'!P9+'Revenue Model'!P22</f>
        <v/>
      </c>
      <c r="Q66" s="56">
        <f>'Revenue Model'!Q9+'Revenue Model'!Q22</f>
        <v/>
      </c>
      <c r="R66" s="56">
        <f>'Revenue Model'!R9+'Revenue Model'!R22</f>
        <v/>
      </c>
      <c r="S66" s="56">
        <f>'Revenue Model'!S9+'Revenue Model'!S22</f>
        <v/>
      </c>
      <c r="T66" s="56">
        <f>'Revenue Model'!T9+'Revenue Model'!T22</f>
        <v/>
      </c>
      <c r="U66" s="56">
        <f>'Revenue Model'!U9+'Revenue Model'!U22</f>
        <v/>
      </c>
      <c r="V66" s="56">
        <f>'Revenue Model'!V9+'Revenue Model'!V22</f>
        <v/>
      </c>
      <c r="W66" s="56">
        <f>'Revenue Model'!W9+'Revenue Model'!W22</f>
        <v/>
      </c>
      <c r="X66" s="56">
        <f>'Revenue Model'!X9+'Revenue Model'!X22</f>
        <v/>
      </c>
      <c r="Y66" s="56">
        <f>'Revenue Model'!Y9+'Revenue Model'!Y22</f>
        <v/>
      </c>
      <c r="Z66" s="56">
        <f>'Revenue Model'!Z9+'Revenue Model'!Z22</f>
        <v/>
      </c>
      <c r="AA66" s="56">
        <f>'Revenue Model'!AA9+'Revenue Model'!AA22</f>
        <v/>
      </c>
      <c r="AB66" s="56">
        <f>'Revenue Model'!AB9+'Revenue Model'!AB22</f>
        <v/>
      </c>
      <c r="AC66" s="56">
        <f>'Revenue Model'!AC9+'Revenue Model'!AC22</f>
        <v/>
      </c>
      <c r="AD66" s="56">
        <f>'Revenue Model'!AD9+'Revenue Model'!AD22</f>
        <v/>
      </c>
      <c r="AE66" s="56">
        <f>'Revenue Model'!AE9+'Revenue Model'!AE22</f>
        <v/>
      </c>
      <c r="AF66" s="56">
        <f>'Revenue Model'!AF9+'Revenue Model'!AF22</f>
        <v/>
      </c>
      <c r="AG66" s="56">
        <f>'Revenue Model'!AG9+'Revenue Model'!AG22</f>
        <v/>
      </c>
      <c r="AH66" s="56">
        <f>'Revenue Model'!AH9+'Revenue Model'!AH22</f>
        <v/>
      </c>
      <c r="AI66" s="56">
        <f>'Revenue Model'!AI9+'Revenue Model'!AI22</f>
        <v/>
      </c>
      <c r="AJ66" s="56">
        <f>'Revenue Model'!AJ9+'Revenue Model'!AJ22</f>
        <v/>
      </c>
      <c r="AK66" s="56">
        <f>'Revenue Model'!AK9+'Revenue Model'!AK22</f>
        <v/>
      </c>
      <c r="AL66" s="56">
        <f>'Revenue Model'!AL9+'Revenue Model'!AL22</f>
        <v/>
      </c>
    </row>
    <row r="67">
      <c r="A67" s="33" t="inlineStr">
        <is>
          <t>S&amp;M spend</t>
        </is>
      </c>
      <c r="B67" s="34" t="inlineStr">
        <is>
          <t>$</t>
        </is>
      </c>
      <c r="C67" s="67">
        <f>'Income Statement'!C12</f>
        <v/>
      </c>
      <c r="D67" s="67">
        <f>'Income Statement'!D12</f>
        <v/>
      </c>
      <c r="E67" s="67">
        <f>'Income Statement'!E12</f>
        <v/>
      </c>
      <c r="F67" s="67">
        <f>'Income Statement'!F12</f>
        <v/>
      </c>
      <c r="G67" s="67">
        <f>'Income Statement'!G12</f>
        <v/>
      </c>
      <c r="H67" s="67">
        <f>'Income Statement'!H12</f>
        <v/>
      </c>
      <c r="I67" s="67">
        <f>'Income Statement'!I12</f>
        <v/>
      </c>
      <c r="J67" s="67">
        <f>'Income Statement'!J12</f>
        <v/>
      </c>
      <c r="K67" s="67">
        <f>'Income Statement'!K12</f>
        <v/>
      </c>
      <c r="L67" s="67">
        <f>'Income Statement'!L12</f>
        <v/>
      </c>
      <c r="M67" s="67">
        <f>'Income Statement'!M12</f>
        <v/>
      </c>
      <c r="N67" s="67">
        <f>'Income Statement'!N12</f>
        <v/>
      </c>
      <c r="O67" s="67">
        <f>'Income Statement'!O12</f>
        <v/>
      </c>
      <c r="P67" s="67">
        <f>'Income Statement'!P12</f>
        <v/>
      </c>
      <c r="Q67" s="67">
        <f>'Income Statement'!Q12</f>
        <v/>
      </c>
      <c r="R67" s="67">
        <f>'Income Statement'!R12</f>
        <v/>
      </c>
      <c r="S67" s="67">
        <f>'Income Statement'!S12</f>
        <v/>
      </c>
      <c r="T67" s="67">
        <f>'Income Statement'!T12</f>
        <v/>
      </c>
      <c r="U67" s="67">
        <f>'Income Statement'!U12</f>
        <v/>
      </c>
      <c r="V67" s="67">
        <f>'Income Statement'!V12</f>
        <v/>
      </c>
      <c r="W67" s="67">
        <f>'Income Statement'!W12</f>
        <v/>
      </c>
      <c r="X67" s="67">
        <f>'Income Statement'!X12</f>
        <v/>
      </c>
      <c r="Y67" s="67">
        <f>'Income Statement'!Y12</f>
        <v/>
      </c>
      <c r="Z67" s="67">
        <f>'Income Statement'!Z12</f>
        <v/>
      </c>
      <c r="AA67" s="67">
        <f>'Income Statement'!AA12</f>
        <v/>
      </c>
      <c r="AB67" s="67">
        <f>'Income Statement'!AB12</f>
        <v/>
      </c>
      <c r="AC67" s="67">
        <f>'Income Statement'!AC12</f>
        <v/>
      </c>
      <c r="AD67" s="67">
        <f>'Income Statement'!AD12</f>
        <v/>
      </c>
      <c r="AE67" s="67">
        <f>'Income Statement'!AE12</f>
        <v/>
      </c>
      <c r="AF67" s="67">
        <f>'Income Statement'!AF12</f>
        <v/>
      </c>
      <c r="AG67" s="67">
        <f>'Income Statement'!AG12</f>
        <v/>
      </c>
      <c r="AH67" s="67">
        <f>'Income Statement'!AH12</f>
        <v/>
      </c>
      <c r="AI67" s="67">
        <f>'Income Statement'!AI12</f>
        <v/>
      </c>
      <c r="AJ67" s="67">
        <f>'Income Statement'!AJ12</f>
        <v/>
      </c>
      <c r="AK67" s="67">
        <f>'Income Statement'!AK12</f>
        <v/>
      </c>
      <c r="AL67" s="67">
        <f>'Income Statement'!AL12</f>
        <v/>
      </c>
      <c r="AN67" s="58">
        <f>SUM(C67:N67)</f>
        <v/>
      </c>
      <c r="AO67" s="58">
        <f>SUM(O67:Z67)</f>
        <v/>
      </c>
      <c r="AP67" s="58">
        <f>SUM(AA67:AL67)</f>
        <v/>
      </c>
    </row>
    <row r="68">
      <c r="A68" s="33" t="inlineStr">
        <is>
          <t>CAC, blended (trailing 3 months)</t>
        </is>
      </c>
      <c r="B68" s="34" t="inlineStr">
        <is>
          <t>$</t>
        </is>
      </c>
      <c r="C68" s="109">
        <f>IFERROR(SUM($C67:C67)/SUM($C66:C66),"n/a")</f>
        <v/>
      </c>
      <c r="D68" s="109">
        <f>IFERROR(SUM($C67:D67)/SUM($C66:D66),"n/a")</f>
        <v/>
      </c>
      <c r="E68" s="109">
        <f>IFERROR(SUM(C67:E67)/SUM(C66:E66),"n/a")</f>
        <v/>
      </c>
      <c r="F68" s="109">
        <f>IFERROR(SUM(D67:F67)/SUM(D66:F66),"n/a")</f>
        <v/>
      </c>
      <c r="G68" s="109">
        <f>IFERROR(SUM(E67:G67)/SUM(E66:G66),"n/a")</f>
        <v/>
      </c>
      <c r="H68" s="109">
        <f>IFERROR(SUM(F67:H67)/SUM(F66:H66),"n/a")</f>
        <v/>
      </c>
      <c r="I68" s="109">
        <f>IFERROR(SUM(G67:I67)/SUM(G66:I66),"n/a")</f>
        <v/>
      </c>
      <c r="J68" s="109">
        <f>IFERROR(SUM(H67:J67)/SUM(H66:J66),"n/a")</f>
        <v/>
      </c>
      <c r="K68" s="109">
        <f>IFERROR(SUM(I67:K67)/SUM(I66:K66),"n/a")</f>
        <v/>
      </c>
      <c r="L68" s="109">
        <f>IFERROR(SUM(J67:L67)/SUM(J66:L66),"n/a")</f>
        <v/>
      </c>
      <c r="M68" s="109">
        <f>IFERROR(SUM(K67:M67)/SUM(K66:M66),"n/a")</f>
        <v/>
      </c>
      <c r="N68" s="109">
        <f>IFERROR(SUM(L67:N67)/SUM(L66:N66),"n/a")</f>
        <v/>
      </c>
      <c r="O68" s="109">
        <f>IFERROR(SUM(M67:O67)/SUM(M66:O66),"n/a")</f>
        <v/>
      </c>
      <c r="P68" s="109">
        <f>IFERROR(SUM(N67:P67)/SUM(N66:P66),"n/a")</f>
        <v/>
      </c>
      <c r="Q68" s="109">
        <f>IFERROR(SUM(O67:Q67)/SUM(O66:Q66),"n/a")</f>
        <v/>
      </c>
      <c r="R68" s="109">
        <f>IFERROR(SUM(P67:R67)/SUM(P66:R66),"n/a")</f>
        <v/>
      </c>
      <c r="S68" s="109">
        <f>IFERROR(SUM(Q67:S67)/SUM(Q66:S66),"n/a")</f>
        <v/>
      </c>
      <c r="T68" s="109">
        <f>IFERROR(SUM(R67:T67)/SUM(R66:T66),"n/a")</f>
        <v/>
      </c>
      <c r="U68" s="109">
        <f>IFERROR(SUM(S67:U67)/SUM(S66:U66),"n/a")</f>
        <v/>
      </c>
      <c r="V68" s="109">
        <f>IFERROR(SUM(T67:V67)/SUM(T66:V66),"n/a")</f>
        <v/>
      </c>
      <c r="W68" s="109">
        <f>IFERROR(SUM(U67:W67)/SUM(U66:W66),"n/a")</f>
        <v/>
      </c>
      <c r="X68" s="109">
        <f>IFERROR(SUM(V67:X67)/SUM(V66:X66),"n/a")</f>
        <v/>
      </c>
      <c r="Y68" s="109">
        <f>IFERROR(SUM(W67:Y67)/SUM(W66:Y66),"n/a")</f>
        <v/>
      </c>
      <c r="Z68" s="109">
        <f>IFERROR(SUM(X67:Z67)/SUM(X66:Z66),"n/a")</f>
        <v/>
      </c>
      <c r="AA68" s="109">
        <f>IFERROR(SUM(Y67:AA67)/SUM(Y66:AA66),"n/a")</f>
        <v/>
      </c>
      <c r="AB68" s="109">
        <f>IFERROR(SUM(Z67:AB67)/SUM(Z66:AB66),"n/a")</f>
        <v/>
      </c>
      <c r="AC68" s="109">
        <f>IFERROR(SUM(AA67:AC67)/SUM(AA66:AC66),"n/a")</f>
        <v/>
      </c>
      <c r="AD68" s="109">
        <f>IFERROR(SUM(AB67:AD67)/SUM(AB66:AD66),"n/a")</f>
        <v/>
      </c>
      <c r="AE68" s="109">
        <f>IFERROR(SUM(AC67:AE67)/SUM(AC66:AE66),"n/a")</f>
        <v/>
      </c>
      <c r="AF68" s="109">
        <f>IFERROR(SUM(AD67:AF67)/SUM(AD66:AF66),"n/a")</f>
        <v/>
      </c>
      <c r="AG68" s="109">
        <f>IFERROR(SUM(AE67:AG67)/SUM(AE66:AG66),"n/a")</f>
        <v/>
      </c>
      <c r="AH68" s="109">
        <f>IFERROR(SUM(AF67:AH67)/SUM(AF66:AH66),"n/a")</f>
        <v/>
      </c>
      <c r="AI68" s="109">
        <f>IFERROR(SUM(AG67:AI67)/SUM(AG66:AI66),"n/a")</f>
        <v/>
      </c>
      <c r="AJ68" s="109">
        <f>IFERROR(SUM(AH67:AJ67)/SUM(AH66:AJ66),"n/a")</f>
        <v/>
      </c>
      <c r="AK68" s="109">
        <f>IFERROR(SUM(AI67:AK67)/SUM(AI66:AK66),"n/a")</f>
        <v/>
      </c>
      <c r="AL68" s="109">
        <f>IFERROR(SUM(AJ67:AL67)/SUM(AJ66:AL66),"n/a")</f>
        <v/>
      </c>
    </row>
    <row r="69">
      <c r="A69" s="33" t="inlineStr">
        <is>
          <t>Blended ARPU</t>
        </is>
      </c>
      <c r="B69" s="34" t="inlineStr">
        <is>
          <t>$/mo</t>
        </is>
      </c>
      <c r="C69" s="109">
        <f>IFERROR(('Revenue Model'!C18+'Revenue Model'!C31)/('Revenue Model'!C11+'Revenue Model'!C24),0)</f>
        <v/>
      </c>
      <c r="D69" s="109">
        <f>IFERROR(('Revenue Model'!D18+'Revenue Model'!D31)/('Revenue Model'!D11+'Revenue Model'!D24),0)</f>
        <v/>
      </c>
      <c r="E69" s="109">
        <f>IFERROR(('Revenue Model'!E18+'Revenue Model'!E31)/('Revenue Model'!E11+'Revenue Model'!E24),0)</f>
        <v/>
      </c>
      <c r="F69" s="109">
        <f>IFERROR(('Revenue Model'!F18+'Revenue Model'!F31)/('Revenue Model'!F11+'Revenue Model'!F24),0)</f>
        <v/>
      </c>
      <c r="G69" s="109">
        <f>IFERROR(('Revenue Model'!G18+'Revenue Model'!G31)/('Revenue Model'!G11+'Revenue Model'!G24),0)</f>
        <v/>
      </c>
      <c r="H69" s="109">
        <f>IFERROR(('Revenue Model'!H18+'Revenue Model'!H31)/('Revenue Model'!H11+'Revenue Model'!H24),0)</f>
        <v/>
      </c>
      <c r="I69" s="109">
        <f>IFERROR(('Revenue Model'!I18+'Revenue Model'!I31)/('Revenue Model'!I11+'Revenue Model'!I24),0)</f>
        <v/>
      </c>
      <c r="J69" s="109">
        <f>IFERROR(('Revenue Model'!J18+'Revenue Model'!J31)/('Revenue Model'!J11+'Revenue Model'!J24),0)</f>
        <v/>
      </c>
      <c r="K69" s="109">
        <f>IFERROR(('Revenue Model'!K18+'Revenue Model'!K31)/('Revenue Model'!K11+'Revenue Model'!K24),0)</f>
        <v/>
      </c>
      <c r="L69" s="109">
        <f>IFERROR(('Revenue Model'!L18+'Revenue Model'!L31)/('Revenue Model'!L11+'Revenue Model'!L24),0)</f>
        <v/>
      </c>
      <c r="M69" s="109">
        <f>IFERROR(('Revenue Model'!M18+'Revenue Model'!M31)/('Revenue Model'!M11+'Revenue Model'!M24),0)</f>
        <v/>
      </c>
      <c r="N69" s="109">
        <f>IFERROR(('Revenue Model'!N18+'Revenue Model'!N31)/('Revenue Model'!N11+'Revenue Model'!N24),0)</f>
        <v/>
      </c>
      <c r="O69" s="109">
        <f>IFERROR(('Revenue Model'!O18+'Revenue Model'!O31)/('Revenue Model'!O11+'Revenue Model'!O24),0)</f>
        <v/>
      </c>
      <c r="P69" s="109">
        <f>IFERROR(('Revenue Model'!P18+'Revenue Model'!P31)/('Revenue Model'!P11+'Revenue Model'!P24),0)</f>
        <v/>
      </c>
      <c r="Q69" s="109">
        <f>IFERROR(('Revenue Model'!Q18+'Revenue Model'!Q31)/('Revenue Model'!Q11+'Revenue Model'!Q24),0)</f>
        <v/>
      </c>
      <c r="R69" s="109">
        <f>IFERROR(('Revenue Model'!R18+'Revenue Model'!R31)/('Revenue Model'!R11+'Revenue Model'!R24),0)</f>
        <v/>
      </c>
      <c r="S69" s="109">
        <f>IFERROR(('Revenue Model'!S18+'Revenue Model'!S31)/('Revenue Model'!S11+'Revenue Model'!S24),0)</f>
        <v/>
      </c>
      <c r="T69" s="109">
        <f>IFERROR(('Revenue Model'!T18+'Revenue Model'!T31)/('Revenue Model'!T11+'Revenue Model'!T24),0)</f>
        <v/>
      </c>
      <c r="U69" s="109">
        <f>IFERROR(('Revenue Model'!U18+'Revenue Model'!U31)/('Revenue Model'!U11+'Revenue Model'!U24),0)</f>
        <v/>
      </c>
      <c r="V69" s="109">
        <f>IFERROR(('Revenue Model'!V18+'Revenue Model'!V31)/('Revenue Model'!V11+'Revenue Model'!V24),0)</f>
        <v/>
      </c>
      <c r="W69" s="109">
        <f>IFERROR(('Revenue Model'!W18+'Revenue Model'!W31)/('Revenue Model'!W11+'Revenue Model'!W24),0)</f>
        <v/>
      </c>
      <c r="X69" s="109">
        <f>IFERROR(('Revenue Model'!X18+'Revenue Model'!X31)/('Revenue Model'!X11+'Revenue Model'!X24),0)</f>
        <v/>
      </c>
      <c r="Y69" s="109">
        <f>IFERROR(('Revenue Model'!Y18+'Revenue Model'!Y31)/('Revenue Model'!Y11+'Revenue Model'!Y24),0)</f>
        <v/>
      </c>
      <c r="Z69" s="109">
        <f>IFERROR(('Revenue Model'!Z18+'Revenue Model'!Z31)/('Revenue Model'!Z11+'Revenue Model'!Z24),0)</f>
        <v/>
      </c>
      <c r="AA69" s="109">
        <f>IFERROR(('Revenue Model'!AA18+'Revenue Model'!AA31)/('Revenue Model'!AA11+'Revenue Model'!AA24),0)</f>
        <v/>
      </c>
      <c r="AB69" s="109">
        <f>IFERROR(('Revenue Model'!AB18+'Revenue Model'!AB31)/('Revenue Model'!AB11+'Revenue Model'!AB24),0)</f>
        <v/>
      </c>
      <c r="AC69" s="109">
        <f>IFERROR(('Revenue Model'!AC18+'Revenue Model'!AC31)/('Revenue Model'!AC11+'Revenue Model'!AC24),0)</f>
        <v/>
      </c>
      <c r="AD69" s="109">
        <f>IFERROR(('Revenue Model'!AD18+'Revenue Model'!AD31)/('Revenue Model'!AD11+'Revenue Model'!AD24),0)</f>
        <v/>
      </c>
      <c r="AE69" s="109">
        <f>IFERROR(('Revenue Model'!AE18+'Revenue Model'!AE31)/('Revenue Model'!AE11+'Revenue Model'!AE24),0)</f>
        <v/>
      </c>
      <c r="AF69" s="109">
        <f>IFERROR(('Revenue Model'!AF18+'Revenue Model'!AF31)/('Revenue Model'!AF11+'Revenue Model'!AF24),0)</f>
        <v/>
      </c>
      <c r="AG69" s="109">
        <f>IFERROR(('Revenue Model'!AG18+'Revenue Model'!AG31)/('Revenue Model'!AG11+'Revenue Model'!AG24),0)</f>
        <v/>
      </c>
      <c r="AH69" s="109">
        <f>IFERROR(('Revenue Model'!AH18+'Revenue Model'!AH31)/('Revenue Model'!AH11+'Revenue Model'!AH24),0)</f>
        <v/>
      </c>
      <c r="AI69" s="109">
        <f>IFERROR(('Revenue Model'!AI18+'Revenue Model'!AI31)/('Revenue Model'!AI11+'Revenue Model'!AI24),0)</f>
        <v/>
      </c>
      <c r="AJ69" s="109">
        <f>IFERROR(('Revenue Model'!AJ18+'Revenue Model'!AJ31)/('Revenue Model'!AJ11+'Revenue Model'!AJ24),0)</f>
        <v/>
      </c>
      <c r="AK69" s="109">
        <f>IFERROR(('Revenue Model'!AK18+'Revenue Model'!AK31)/('Revenue Model'!AK11+'Revenue Model'!AK24),0)</f>
        <v/>
      </c>
      <c r="AL69" s="109">
        <f>IFERROR(('Revenue Model'!AL18+'Revenue Model'!AL31)/('Revenue Model'!AL11+'Revenue Model'!AL24),0)</f>
        <v/>
      </c>
    </row>
    <row r="70">
      <c r="A70" s="33" t="inlineStr">
        <is>
          <t>Blended MRR churn</t>
        </is>
      </c>
      <c r="B70" s="34" t="inlineStr">
        <is>
          <t>%/mo</t>
        </is>
      </c>
      <c r="C70" s="70">
        <f>IFERROR(-('Revenue Model'!C17+'Revenue Model'!C30)/('Revenue Model'!C14+'Revenue Model'!C27),0)</f>
        <v/>
      </c>
      <c r="D70" s="70">
        <f>IFERROR(-('Revenue Model'!D17+'Revenue Model'!D30)/('Revenue Model'!D14+'Revenue Model'!D27),0)</f>
        <v/>
      </c>
      <c r="E70" s="70">
        <f>IFERROR(-('Revenue Model'!E17+'Revenue Model'!E30)/('Revenue Model'!E14+'Revenue Model'!E27),0)</f>
        <v/>
      </c>
      <c r="F70" s="70">
        <f>IFERROR(-('Revenue Model'!F17+'Revenue Model'!F30)/('Revenue Model'!F14+'Revenue Model'!F27),0)</f>
        <v/>
      </c>
      <c r="G70" s="70">
        <f>IFERROR(-('Revenue Model'!G17+'Revenue Model'!G30)/('Revenue Model'!G14+'Revenue Model'!G27),0)</f>
        <v/>
      </c>
      <c r="H70" s="70">
        <f>IFERROR(-('Revenue Model'!H17+'Revenue Model'!H30)/('Revenue Model'!H14+'Revenue Model'!H27),0)</f>
        <v/>
      </c>
      <c r="I70" s="70">
        <f>IFERROR(-('Revenue Model'!I17+'Revenue Model'!I30)/('Revenue Model'!I14+'Revenue Model'!I27),0)</f>
        <v/>
      </c>
      <c r="J70" s="70">
        <f>IFERROR(-('Revenue Model'!J17+'Revenue Model'!J30)/('Revenue Model'!J14+'Revenue Model'!J27),0)</f>
        <v/>
      </c>
      <c r="K70" s="70">
        <f>IFERROR(-('Revenue Model'!K17+'Revenue Model'!K30)/('Revenue Model'!K14+'Revenue Model'!K27),0)</f>
        <v/>
      </c>
      <c r="L70" s="70">
        <f>IFERROR(-('Revenue Model'!L17+'Revenue Model'!L30)/('Revenue Model'!L14+'Revenue Model'!L27),0)</f>
        <v/>
      </c>
      <c r="M70" s="70">
        <f>IFERROR(-('Revenue Model'!M17+'Revenue Model'!M30)/('Revenue Model'!M14+'Revenue Model'!M27),0)</f>
        <v/>
      </c>
      <c r="N70" s="70">
        <f>IFERROR(-('Revenue Model'!N17+'Revenue Model'!N30)/('Revenue Model'!N14+'Revenue Model'!N27),0)</f>
        <v/>
      </c>
      <c r="O70" s="70">
        <f>IFERROR(-('Revenue Model'!O17+'Revenue Model'!O30)/('Revenue Model'!O14+'Revenue Model'!O27),0)</f>
        <v/>
      </c>
      <c r="P70" s="70">
        <f>IFERROR(-('Revenue Model'!P17+'Revenue Model'!P30)/('Revenue Model'!P14+'Revenue Model'!P27),0)</f>
        <v/>
      </c>
      <c r="Q70" s="70">
        <f>IFERROR(-('Revenue Model'!Q17+'Revenue Model'!Q30)/('Revenue Model'!Q14+'Revenue Model'!Q27),0)</f>
        <v/>
      </c>
      <c r="R70" s="70">
        <f>IFERROR(-('Revenue Model'!R17+'Revenue Model'!R30)/('Revenue Model'!R14+'Revenue Model'!R27),0)</f>
        <v/>
      </c>
      <c r="S70" s="70">
        <f>IFERROR(-('Revenue Model'!S17+'Revenue Model'!S30)/('Revenue Model'!S14+'Revenue Model'!S27),0)</f>
        <v/>
      </c>
      <c r="T70" s="70">
        <f>IFERROR(-('Revenue Model'!T17+'Revenue Model'!T30)/('Revenue Model'!T14+'Revenue Model'!T27),0)</f>
        <v/>
      </c>
      <c r="U70" s="70">
        <f>IFERROR(-('Revenue Model'!U17+'Revenue Model'!U30)/('Revenue Model'!U14+'Revenue Model'!U27),0)</f>
        <v/>
      </c>
      <c r="V70" s="70">
        <f>IFERROR(-('Revenue Model'!V17+'Revenue Model'!V30)/('Revenue Model'!V14+'Revenue Model'!V27),0)</f>
        <v/>
      </c>
      <c r="W70" s="70">
        <f>IFERROR(-('Revenue Model'!W17+'Revenue Model'!W30)/('Revenue Model'!W14+'Revenue Model'!W27),0)</f>
        <v/>
      </c>
      <c r="X70" s="70">
        <f>IFERROR(-('Revenue Model'!X17+'Revenue Model'!X30)/('Revenue Model'!X14+'Revenue Model'!X27),0)</f>
        <v/>
      </c>
      <c r="Y70" s="70">
        <f>IFERROR(-('Revenue Model'!Y17+'Revenue Model'!Y30)/('Revenue Model'!Y14+'Revenue Model'!Y27),0)</f>
        <v/>
      </c>
      <c r="Z70" s="70">
        <f>IFERROR(-('Revenue Model'!Z17+'Revenue Model'!Z30)/('Revenue Model'!Z14+'Revenue Model'!Z27),0)</f>
        <v/>
      </c>
      <c r="AA70" s="70">
        <f>IFERROR(-('Revenue Model'!AA17+'Revenue Model'!AA30)/('Revenue Model'!AA14+'Revenue Model'!AA27),0)</f>
        <v/>
      </c>
      <c r="AB70" s="70">
        <f>IFERROR(-('Revenue Model'!AB17+'Revenue Model'!AB30)/('Revenue Model'!AB14+'Revenue Model'!AB27),0)</f>
        <v/>
      </c>
      <c r="AC70" s="70">
        <f>IFERROR(-('Revenue Model'!AC17+'Revenue Model'!AC30)/('Revenue Model'!AC14+'Revenue Model'!AC27),0)</f>
        <v/>
      </c>
      <c r="AD70" s="70">
        <f>IFERROR(-('Revenue Model'!AD17+'Revenue Model'!AD30)/('Revenue Model'!AD14+'Revenue Model'!AD27),0)</f>
        <v/>
      </c>
      <c r="AE70" s="70">
        <f>IFERROR(-('Revenue Model'!AE17+'Revenue Model'!AE30)/('Revenue Model'!AE14+'Revenue Model'!AE27),0)</f>
        <v/>
      </c>
      <c r="AF70" s="70">
        <f>IFERROR(-('Revenue Model'!AF17+'Revenue Model'!AF30)/('Revenue Model'!AF14+'Revenue Model'!AF27),0)</f>
        <v/>
      </c>
      <c r="AG70" s="70">
        <f>IFERROR(-('Revenue Model'!AG17+'Revenue Model'!AG30)/('Revenue Model'!AG14+'Revenue Model'!AG27),0)</f>
        <v/>
      </c>
      <c r="AH70" s="70">
        <f>IFERROR(-('Revenue Model'!AH17+'Revenue Model'!AH30)/('Revenue Model'!AH14+'Revenue Model'!AH27),0)</f>
        <v/>
      </c>
      <c r="AI70" s="70">
        <f>IFERROR(-('Revenue Model'!AI17+'Revenue Model'!AI30)/('Revenue Model'!AI14+'Revenue Model'!AI27),0)</f>
        <v/>
      </c>
      <c r="AJ70" s="70">
        <f>IFERROR(-('Revenue Model'!AJ17+'Revenue Model'!AJ30)/('Revenue Model'!AJ14+'Revenue Model'!AJ27),0)</f>
        <v/>
      </c>
      <c r="AK70" s="70">
        <f>IFERROR(-('Revenue Model'!AK17+'Revenue Model'!AK30)/('Revenue Model'!AK14+'Revenue Model'!AK27),0)</f>
        <v/>
      </c>
      <c r="AL70" s="70">
        <f>IFERROR(-('Revenue Model'!AL17+'Revenue Model'!AL30)/('Revenue Model'!AL14+'Revenue Model'!AL27),0)</f>
        <v/>
      </c>
    </row>
    <row r="71">
      <c r="A71" s="33" t="inlineStr">
        <is>
          <t>LTV (GM-adjusted)</t>
        </is>
      </c>
      <c r="B71" s="34" t="inlineStr">
        <is>
          <t>$</t>
        </is>
      </c>
      <c r="C71" s="109">
        <f>IFERROR(C69*C61/C70,"n/a")</f>
        <v/>
      </c>
      <c r="D71" s="109">
        <f>IFERROR(D69*D61/D70,"n/a")</f>
        <v/>
      </c>
      <c r="E71" s="109">
        <f>IFERROR(E69*E61/E70,"n/a")</f>
        <v/>
      </c>
      <c r="F71" s="109">
        <f>IFERROR(F69*F61/F70,"n/a")</f>
        <v/>
      </c>
      <c r="G71" s="109">
        <f>IFERROR(G69*G61/G70,"n/a")</f>
        <v/>
      </c>
      <c r="H71" s="109">
        <f>IFERROR(H69*H61/H70,"n/a")</f>
        <v/>
      </c>
      <c r="I71" s="109">
        <f>IFERROR(I69*I61/I70,"n/a")</f>
        <v/>
      </c>
      <c r="J71" s="109">
        <f>IFERROR(J69*J61/J70,"n/a")</f>
        <v/>
      </c>
      <c r="K71" s="109">
        <f>IFERROR(K69*K61/K70,"n/a")</f>
        <v/>
      </c>
      <c r="L71" s="109">
        <f>IFERROR(L69*L61/L70,"n/a")</f>
        <v/>
      </c>
      <c r="M71" s="109">
        <f>IFERROR(M69*M61/M70,"n/a")</f>
        <v/>
      </c>
      <c r="N71" s="109">
        <f>IFERROR(N69*N61/N70,"n/a")</f>
        <v/>
      </c>
      <c r="O71" s="109">
        <f>IFERROR(O69*O61/O70,"n/a")</f>
        <v/>
      </c>
      <c r="P71" s="109">
        <f>IFERROR(P69*P61/P70,"n/a")</f>
        <v/>
      </c>
      <c r="Q71" s="109">
        <f>IFERROR(Q69*Q61/Q70,"n/a")</f>
        <v/>
      </c>
      <c r="R71" s="109">
        <f>IFERROR(R69*R61/R70,"n/a")</f>
        <v/>
      </c>
      <c r="S71" s="109">
        <f>IFERROR(S69*S61/S70,"n/a")</f>
        <v/>
      </c>
      <c r="T71" s="109">
        <f>IFERROR(T69*T61/T70,"n/a")</f>
        <v/>
      </c>
      <c r="U71" s="109">
        <f>IFERROR(U69*U61/U70,"n/a")</f>
        <v/>
      </c>
      <c r="V71" s="109">
        <f>IFERROR(V69*V61/V70,"n/a")</f>
        <v/>
      </c>
      <c r="W71" s="109">
        <f>IFERROR(W69*W61/W70,"n/a")</f>
        <v/>
      </c>
      <c r="X71" s="109">
        <f>IFERROR(X69*X61/X70,"n/a")</f>
        <v/>
      </c>
      <c r="Y71" s="109">
        <f>IFERROR(Y69*Y61/Y70,"n/a")</f>
        <v/>
      </c>
      <c r="Z71" s="109">
        <f>IFERROR(Z69*Z61/Z70,"n/a")</f>
        <v/>
      </c>
      <c r="AA71" s="109">
        <f>IFERROR(AA69*AA61/AA70,"n/a")</f>
        <v/>
      </c>
      <c r="AB71" s="109">
        <f>IFERROR(AB69*AB61/AB70,"n/a")</f>
        <v/>
      </c>
      <c r="AC71" s="109">
        <f>IFERROR(AC69*AC61/AC70,"n/a")</f>
        <v/>
      </c>
      <c r="AD71" s="109">
        <f>IFERROR(AD69*AD61/AD70,"n/a")</f>
        <v/>
      </c>
      <c r="AE71" s="109">
        <f>IFERROR(AE69*AE61/AE70,"n/a")</f>
        <v/>
      </c>
      <c r="AF71" s="109">
        <f>IFERROR(AF69*AF61/AF70,"n/a")</f>
        <v/>
      </c>
      <c r="AG71" s="109">
        <f>IFERROR(AG69*AG61/AG70,"n/a")</f>
        <v/>
      </c>
      <c r="AH71" s="109">
        <f>IFERROR(AH69*AH61/AH70,"n/a")</f>
        <v/>
      </c>
      <c r="AI71" s="109">
        <f>IFERROR(AI69*AI61/AI70,"n/a")</f>
        <v/>
      </c>
      <c r="AJ71" s="109">
        <f>IFERROR(AJ69*AJ61/AJ70,"n/a")</f>
        <v/>
      </c>
      <c r="AK71" s="109">
        <f>IFERROR(AK69*AK61/AK70,"n/a")</f>
        <v/>
      </c>
      <c r="AL71" s="109">
        <f>IFERROR(AL69*AL61/AL70,"n/a")</f>
        <v/>
      </c>
    </row>
    <row r="72">
      <c r="A72" s="33" t="inlineStr">
        <is>
          <t>LTV / CAC</t>
        </is>
      </c>
      <c r="B72" s="34" t="inlineStr">
        <is>
          <t>x</t>
        </is>
      </c>
      <c r="C72" s="110">
        <f>IFERROR(C71/C68,"n/a")</f>
        <v/>
      </c>
      <c r="D72" s="110">
        <f>IFERROR(D71/D68,"n/a")</f>
        <v/>
      </c>
      <c r="E72" s="110">
        <f>IFERROR(E71/E68,"n/a")</f>
        <v/>
      </c>
      <c r="F72" s="110">
        <f>IFERROR(F71/F68,"n/a")</f>
        <v/>
      </c>
      <c r="G72" s="110">
        <f>IFERROR(G71/G68,"n/a")</f>
        <v/>
      </c>
      <c r="H72" s="110">
        <f>IFERROR(H71/H68,"n/a")</f>
        <v/>
      </c>
      <c r="I72" s="110">
        <f>IFERROR(I71/I68,"n/a")</f>
        <v/>
      </c>
      <c r="J72" s="110">
        <f>IFERROR(J71/J68,"n/a")</f>
        <v/>
      </c>
      <c r="K72" s="110">
        <f>IFERROR(K71/K68,"n/a")</f>
        <v/>
      </c>
      <c r="L72" s="110">
        <f>IFERROR(L71/L68,"n/a")</f>
        <v/>
      </c>
      <c r="M72" s="110">
        <f>IFERROR(M71/M68,"n/a")</f>
        <v/>
      </c>
      <c r="N72" s="110">
        <f>IFERROR(N71/N68,"n/a")</f>
        <v/>
      </c>
      <c r="O72" s="110">
        <f>IFERROR(O71/O68,"n/a")</f>
        <v/>
      </c>
      <c r="P72" s="110">
        <f>IFERROR(P71/P68,"n/a")</f>
        <v/>
      </c>
      <c r="Q72" s="110">
        <f>IFERROR(Q71/Q68,"n/a")</f>
        <v/>
      </c>
      <c r="R72" s="110">
        <f>IFERROR(R71/R68,"n/a")</f>
        <v/>
      </c>
      <c r="S72" s="110">
        <f>IFERROR(S71/S68,"n/a")</f>
        <v/>
      </c>
      <c r="T72" s="110">
        <f>IFERROR(T71/T68,"n/a")</f>
        <v/>
      </c>
      <c r="U72" s="110">
        <f>IFERROR(U71/U68,"n/a")</f>
        <v/>
      </c>
      <c r="V72" s="110">
        <f>IFERROR(V71/V68,"n/a")</f>
        <v/>
      </c>
      <c r="W72" s="110">
        <f>IFERROR(W71/W68,"n/a")</f>
        <v/>
      </c>
      <c r="X72" s="110">
        <f>IFERROR(X71/X68,"n/a")</f>
        <v/>
      </c>
      <c r="Y72" s="110">
        <f>IFERROR(Y71/Y68,"n/a")</f>
        <v/>
      </c>
      <c r="Z72" s="110">
        <f>IFERROR(Z71/Z68,"n/a")</f>
        <v/>
      </c>
      <c r="AA72" s="110">
        <f>IFERROR(AA71/AA68,"n/a")</f>
        <v/>
      </c>
      <c r="AB72" s="110">
        <f>IFERROR(AB71/AB68,"n/a")</f>
        <v/>
      </c>
      <c r="AC72" s="110">
        <f>IFERROR(AC71/AC68,"n/a")</f>
        <v/>
      </c>
      <c r="AD72" s="110">
        <f>IFERROR(AD71/AD68,"n/a")</f>
        <v/>
      </c>
      <c r="AE72" s="110">
        <f>IFERROR(AE71/AE68,"n/a")</f>
        <v/>
      </c>
      <c r="AF72" s="110">
        <f>IFERROR(AF71/AF68,"n/a")</f>
        <v/>
      </c>
      <c r="AG72" s="110">
        <f>IFERROR(AG71/AG68,"n/a")</f>
        <v/>
      </c>
      <c r="AH72" s="110">
        <f>IFERROR(AH71/AH68,"n/a")</f>
        <v/>
      </c>
      <c r="AI72" s="110">
        <f>IFERROR(AI71/AI68,"n/a")</f>
        <v/>
      </c>
      <c r="AJ72" s="110">
        <f>IFERROR(AJ71/AJ68,"n/a")</f>
        <v/>
      </c>
      <c r="AK72" s="110">
        <f>IFERROR(AK71/AK68,"n/a")</f>
        <v/>
      </c>
      <c r="AL72" s="110">
        <f>IFERROR(AL71/AL68,"n/a")</f>
        <v/>
      </c>
    </row>
    <row r="73">
      <c r="A73" s="33" t="inlineStr">
        <is>
          <t>CAC payback</t>
        </is>
      </c>
      <c r="B73" s="34" t="inlineStr">
        <is>
          <t>mo</t>
        </is>
      </c>
      <c r="C73" s="73">
        <f>IFERROR(C68/(C69*C61),"n/a")</f>
        <v/>
      </c>
      <c r="D73" s="73">
        <f>IFERROR(D68/(D69*D61),"n/a")</f>
        <v/>
      </c>
      <c r="E73" s="73">
        <f>IFERROR(E68/(E69*E61),"n/a")</f>
        <v/>
      </c>
      <c r="F73" s="73">
        <f>IFERROR(F68/(F69*F61),"n/a")</f>
        <v/>
      </c>
      <c r="G73" s="73">
        <f>IFERROR(G68/(G69*G61),"n/a")</f>
        <v/>
      </c>
      <c r="H73" s="73">
        <f>IFERROR(H68/(H69*H61),"n/a")</f>
        <v/>
      </c>
      <c r="I73" s="73">
        <f>IFERROR(I68/(I69*I61),"n/a")</f>
        <v/>
      </c>
      <c r="J73" s="73">
        <f>IFERROR(J68/(J69*J61),"n/a")</f>
        <v/>
      </c>
      <c r="K73" s="73">
        <f>IFERROR(K68/(K69*K61),"n/a")</f>
        <v/>
      </c>
      <c r="L73" s="73">
        <f>IFERROR(L68/(L69*L61),"n/a")</f>
        <v/>
      </c>
      <c r="M73" s="73">
        <f>IFERROR(M68/(M69*M61),"n/a")</f>
        <v/>
      </c>
      <c r="N73" s="73">
        <f>IFERROR(N68/(N69*N61),"n/a")</f>
        <v/>
      </c>
      <c r="O73" s="73">
        <f>IFERROR(O68/(O69*O61),"n/a")</f>
        <v/>
      </c>
      <c r="P73" s="73">
        <f>IFERROR(P68/(P69*P61),"n/a")</f>
        <v/>
      </c>
      <c r="Q73" s="73">
        <f>IFERROR(Q68/(Q69*Q61),"n/a")</f>
        <v/>
      </c>
      <c r="R73" s="73">
        <f>IFERROR(R68/(R69*R61),"n/a")</f>
        <v/>
      </c>
      <c r="S73" s="73">
        <f>IFERROR(S68/(S69*S61),"n/a")</f>
        <v/>
      </c>
      <c r="T73" s="73">
        <f>IFERROR(T68/(T69*T61),"n/a")</f>
        <v/>
      </c>
      <c r="U73" s="73">
        <f>IFERROR(U68/(U69*U61),"n/a")</f>
        <v/>
      </c>
      <c r="V73" s="73">
        <f>IFERROR(V68/(V69*V61),"n/a")</f>
        <v/>
      </c>
      <c r="W73" s="73">
        <f>IFERROR(W68/(W69*W61),"n/a")</f>
        <v/>
      </c>
      <c r="X73" s="73">
        <f>IFERROR(X68/(X69*X61),"n/a")</f>
        <v/>
      </c>
      <c r="Y73" s="73">
        <f>IFERROR(Y68/(Y69*Y61),"n/a")</f>
        <v/>
      </c>
      <c r="Z73" s="73">
        <f>IFERROR(Z68/(Z69*Z61),"n/a")</f>
        <v/>
      </c>
      <c r="AA73" s="73">
        <f>IFERROR(AA68/(AA69*AA61),"n/a")</f>
        <v/>
      </c>
      <c r="AB73" s="73">
        <f>IFERROR(AB68/(AB69*AB61),"n/a")</f>
        <v/>
      </c>
      <c r="AC73" s="73">
        <f>IFERROR(AC68/(AC69*AC61),"n/a")</f>
        <v/>
      </c>
      <c r="AD73" s="73">
        <f>IFERROR(AD68/(AD69*AD61),"n/a")</f>
        <v/>
      </c>
      <c r="AE73" s="73">
        <f>IFERROR(AE68/(AE69*AE61),"n/a")</f>
        <v/>
      </c>
      <c r="AF73" s="73">
        <f>IFERROR(AF68/(AF69*AF61),"n/a")</f>
        <v/>
      </c>
      <c r="AG73" s="73">
        <f>IFERROR(AG68/(AG69*AG61),"n/a")</f>
        <v/>
      </c>
      <c r="AH73" s="73">
        <f>IFERROR(AH68/(AH69*AH61),"n/a")</f>
        <v/>
      </c>
      <c r="AI73" s="73">
        <f>IFERROR(AI68/(AI69*AI61),"n/a")</f>
        <v/>
      </c>
      <c r="AJ73" s="73">
        <f>IFERROR(AJ68/(AJ69*AJ61),"n/a")</f>
        <v/>
      </c>
      <c r="AK73" s="73">
        <f>IFERROR(AK68/(AK69*AK61),"n/a")</f>
        <v/>
      </c>
      <c r="AL73" s="73">
        <f>IFERROR(AL68/(AL69*AL61),"n/a")</f>
        <v/>
      </c>
    </row>
    <row r="74">
      <c r="A74" s="33" t="inlineStr">
        <is>
          <t>Magic number</t>
        </is>
      </c>
      <c r="B74" s="34" t="inlineStr">
        <is>
          <t>x</t>
        </is>
      </c>
      <c r="C74" s="38">
        <f>"n/a"</f>
        <v/>
      </c>
      <c r="D74" s="38">
        <f>"n/a"</f>
        <v/>
      </c>
      <c r="E74" s="38">
        <f>"n/a"</f>
        <v/>
      </c>
      <c r="F74" s="38">
        <f>"n/a"</f>
        <v/>
      </c>
      <c r="G74" s="38">
        <f>"n/a"</f>
        <v/>
      </c>
      <c r="H74" s="38">
        <f>IFERROR((H57-E57)/SUM(C67:E67),"n/a")</f>
        <v/>
      </c>
      <c r="I74" s="38">
        <f>IFERROR((I57-F57)/SUM(D67:F67),"n/a")</f>
        <v/>
      </c>
      <c r="J74" s="38">
        <f>IFERROR((J57-G57)/SUM(E67:G67),"n/a")</f>
        <v/>
      </c>
      <c r="K74" s="38">
        <f>IFERROR((K57-H57)/SUM(F67:H67),"n/a")</f>
        <v/>
      </c>
      <c r="L74" s="38">
        <f>IFERROR((L57-I57)/SUM(G67:I67),"n/a")</f>
        <v/>
      </c>
      <c r="M74" s="38">
        <f>IFERROR((M57-J57)/SUM(H67:J67),"n/a")</f>
        <v/>
      </c>
      <c r="N74" s="38">
        <f>IFERROR((N57-K57)/SUM(I67:K67),"n/a")</f>
        <v/>
      </c>
      <c r="O74" s="38">
        <f>IFERROR((O57-L57)/SUM(J67:L67),"n/a")</f>
        <v/>
      </c>
      <c r="P74" s="38">
        <f>IFERROR((P57-M57)/SUM(K67:M67),"n/a")</f>
        <v/>
      </c>
      <c r="Q74" s="38">
        <f>IFERROR((Q57-N57)/SUM(L67:N67),"n/a")</f>
        <v/>
      </c>
      <c r="R74" s="38">
        <f>IFERROR((R57-O57)/SUM(M67:O67),"n/a")</f>
        <v/>
      </c>
      <c r="S74" s="38">
        <f>IFERROR((S57-P57)/SUM(N67:P67),"n/a")</f>
        <v/>
      </c>
      <c r="T74" s="38">
        <f>IFERROR((T57-Q57)/SUM(O67:Q67),"n/a")</f>
        <v/>
      </c>
      <c r="U74" s="38">
        <f>IFERROR((U57-R57)/SUM(P67:R67),"n/a")</f>
        <v/>
      </c>
      <c r="V74" s="38">
        <f>IFERROR((V57-S57)/SUM(Q67:S67),"n/a")</f>
        <v/>
      </c>
      <c r="W74" s="38">
        <f>IFERROR((W57-T57)/SUM(R67:T67),"n/a")</f>
        <v/>
      </c>
      <c r="X74" s="38">
        <f>IFERROR((X57-U57)/SUM(S67:U67),"n/a")</f>
        <v/>
      </c>
      <c r="Y74" s="38">
        <f>IFERROR((Y57-V57)/SUM(T67:V67),"n/a")</f>
        <v/>
      </c>
      <c r="Z74" s="38">
        <f>IFERROR((Z57-W57)/SUM(U67:W67),"n/a")</f>
        <v/>
      </c>
      <c r="AA74" s="38">
        <f>IFERROR((AA57-X57)/SUM(V67:X67),"n/a")</f>
        <v/>
      </c>
      <c r="AB74" s="38">
        <f>IFERROR((AB57-Y57)/SUM(W67:Y67),"n/a")</f>
        <v/>
      </c>
      <c r="AC74" s="38">
        <f>IFERROR((AC57-Z57)/SUM(X67:Z67),"n/a")</f>
        <v/>
      </c>
      <c r="AD74" s="38">
        <f>IFERROR((AD57-AA57)/SUM(Y67:AA67),"n/a")</f>
        <v/>
      </c>
      <c r="AE74" s="38">
        <f>IFERROR((AE57-AB57)/SUM(Z67:AB67),"n/a")</f>
        <v/>
      </c>
      <c r="AF74" s="38">
        <f>IFERROR((AF57-AC57)/SUM(AA67:AC67),"n/a")</f>
        <v/>
      </c>
      <c r="AG74" s="38">
        <f>IFERROR((AG57-AD57)/SUM(AB67:AD67),"n/a")</f>
        <v/>
      </c>
      <c r="AH74" s="38">
        <f>IFERROR((AH57-AE57)/SUM(AC67:AE67),"n/a")</f>
        <v/>
      </c>
      <c r="AI74" s="38">
        <f>IFERROR((AI57-AF57)/SUM(AD67:AF67),"n/a")</f>
        <v/>
      </c>
      <c r="AJ74" s="38">
        <f>IFERROR((AJ57-AG57)/SUM(AE67:AG67),"n/a")</f>
        <v/>
      </c>
      <c r="AK74" s="38">
        <f>IFERROR((AK57-AH57)/SUM(AF67:AH67),"n/a")</f>
        <v/>
      </c>
      <c r="AL74" s="38">
        <f>IFERROR((AL57-AI57)/SUM(AG67:AI67),"n/a")</f>
        <v/>
      </c>
    </row>
    <row r="75">
      <c r="A75" s="33" t="inlineStr">
        <is>
          <t>Rule of 40 (YoY growth + EBITDA margin)</t>
        </is>
      </c>
      <c r="B75" s="34" t="inlineStr">
        <is>
          <t>%</t>
        </is>
      </c>
      <c r="C75" s="70">
        <f>IFERROR(C60+C62,"n/a")</f>
        <v/>
      </c>
      <c r="D75" s="70">
        <f>IFERROR(D60+D62,"n/a")</f>
        <v/>
      </c>
      <c r="E75" s="70">
        <f>IFERROR(E60+E62,"n/a")</f>
        <v/>
      </c>
      <c r="F75" s="70">
        <f>IFERROR(F60+F62,"n/a")</f>
        <v/>
      </c>
      <c r="G75" s="70">
        <f>IFERROR(G60+G62,"n/a")</f>
        <v/>
      </c>
      <c r="H75" s="70">
        <f>IFERROR(H60+H62,"n/a")</f>
        <v/>
      </c>
      <c r="I75" s="70">
        <f>IFERROR(I60+I62,"n/a")</f>
        <v/>
      </c>
      <c r="J75" s="70">
        <f>IFERROR(J60+J62,"n/a")</f>
        <v/>
      </c>
      <c r="K75" s="70">
        <f>IFERROR(K60+K62,"n/a")</f>
        <v/>
      </c>
      <c r="L75" s="70">
        <f>IFERROR(L60+L62,"n/a")</f>
        <v/>
      </c>
      <c r="M75" s="70">
        <f>IFERROR(M60+M62,"n/a")</f>
        <v/>
      </c>
      <c r="N75" s="70">
        <f>IFERROR(N60+N62,"n/a")</f>
        <v/>
      </c>
      <c r="O75" s="70">
        <f>IFERROR(O60+O62,"n/a")</f>
        <v/>
      </c>
      <c r="P75" s="70">
        <f>IFERROR(P60+P62,"n/a")</f>
        <v/>
      </c>
      <c r="Q75" s="70">
        <f>IFERROR(Q60+Q62,"n/a")</f>
        <v/>
      </c>
      <c r="R75" s="70">
        <f>IFERROR(R60+R62,"n/a")</f>
        <v/>
      </c>
      <c r="S75" s="70">
        <f>IFERROR(S60+S62,"n/a")</f>
        <v/>
      </c>
      <c r="T75" s="70">
        <f>IFERROR(T60+T62,"n/a")</f>
        <v/>
      </c>
      <c r="U75" s="70">
        <f>IFERROR(U60+U62,"n/a")</f>
        <v/>
      </c>
      <c r="V75" s="70">
        <f>IFERROR(V60+V62,"n/a")</f>
        <v/>
      </c>
      <c r="W75" s="70">
        <f>IFERROR(W60+W62,"n/a")</f>
        <v/>
      </c>
      <c r="X75" s="70">
        <f>IFERROR(X60+X62,"n/a")</f>
        <v/>
      </c>
      <c r="Y75" s="70">
        <f>IFERROR(Y60+Y62,"n/a")</f>
        <v/>
      </c>
      <c r="Z75" s="70">
        <f>IFERROR(Z60+Z62,"n/a")</f>
        <v/>
      </c>
      <c r="AA75" s="70">
        <f>IFERROR(AA60+AA62,"n/a")</f>
        <v/>
      </c>
      <c r="AB75" s="70">
        <f>IFERROR(AB60+AB62,"n/a")</f>
        <v/>
      </c>
      <c r="AC75" s="70">
        <f>IFERROR(AC60+AC62,"n/a")</f>
        <v/>
      </c>
      <c r="AD75" s="70">
        <f>IFERROR(AD60+AD62,"n/a")</f>
        <v/>
      </c>
      <c r="AE75" s="70">
        <f>IFERROR(AE60+AE62,"n/a")</f>
        <v/>
      </c>
      <c r="AF75" s="70">
        <f>IFERROR(AF60+AF62,"n/a")</f>
        <v/>
      </c>
      <c r="AG75" s="70">
        <f>IFERROR(AG60+AG62,"n/a")</f>
        <v/>
      </c>
      <c r="AH75" s="70">
        <f>IFERROR(AH60+AH62,"n/a")</f>
        <v/>
      </c>
      <c r="AI75" s="70">
        <f>IFERROR(AI60+AI62,"n/a")</f>
        <v/>
      </c>
      <c r="AJ75" s="70">
        <f>IFERROR(AJ60+AJ62,"n/a")</f>
        <v/>
      </c>
      <c r="AK75" s="70">
        <f>IFERROR(AK60+AK62,"n/a")</f>
        <v/>
      </c>
      <c r="AL75" s="70">
        <f>IFERROR(AL60+AL62,"n/a")</f>
        <v/>
      </c>
      <c r="AN75" s="70">
        <f>"n/a"</f>
        <v/>
      </c>
      <c r="AO75" s="70">
        <f>IFERROR(AO60+AO62,"n/a")</f>
        <v/>
      </c>
      <c r="AP75" s="70">
        <f>IFERROR(AP60+AP62,"n/a")</f>
        <v/>
      </c>
    </row>
    <row r="76">
      <c r="A76" s="33" t="inlineStr">
        <is>
          <t>Closing cash</t>
        </is>
      </c>
      <c r="B76" s="34" t="inlineStr">
        <is>
          <t>$</t>
        </is>
      </c>
      <c r="C76" s="67">
        <f>'Cash Flow'!C21</f>
        <v/>
      </c>
      <c r="D76" s="67">
        <f>'Cash Flow'!D21</f>
        <v/>
      </c>
      <c r="E76" s="67">
        <f>'Cash Flow'!E21</f>
        <v/>
      </c>
      <c r="F76" s="67">
        <f>'Cash Flow'!F21</f>
        <v/>
      </c>
      <c r="G76" s="67">
        <f>'Cash Flow'!G21</f>
        <v/>
      </c>
      <c r="H76" s="67">
        <f>'Cash Flow'!H21</f>
        <v/>
      </c>
      <c r="I76" s="67">
        <f>'Cash Flow'!I21</f>
        <v/>
      </c>
      <c r="J76" s="67">
        <f>'Cash Flow'!J21</f>
        <v/>
      </c>
      <c r="K76" s="67">
        <f>'Cash Flow'!K21</f>
        <v/>
      </c>
      <c r="L76" s="67">
        <f>'Cash Flow'!L21</f>
        <v/>
      </c>
      <c r="M76" s="67">
        <f>'Cash Flow'!M21</f>
        <v/>
      </c>
      <c r="N76" s="67">
        <f>'Cash Flow'!N21</f>
        <v/>
      </c>
      <c r="O76" s="67">
        <f>'Cash Flow'!O21</f>
        <v/>
      </c>
      <c r="P76" s="67">
        <f>'Cash Flow'!P21</f>
        <v/>
      </c>
      <c r="Q76" s="67">
        <f>'Cash Flow'!Q21</f>
        <v/>
      </c>
      <c r="R76" s="67">
        <f>'Cash Flow'!R21</f>
        <v/>
      </c>
      <c r="S76" s="67">
        <f>'Cash Flow'!S21</f>
        <v/>
      </c>
      <c r="T76" s="67">
        <f>'Cash Flow'!T21</f>
        <v/>
      </c>
      <c r="U76" s="67">
        <f>'Cash Flow'!U21</f>
        <v/>
      </c>
      <c r="V76" s="67">
        <f>'Cash Flow'!V21</f>
        <v/>
      </c>
      <c r="W76" s="67">
        <f>'Cash Flow'!W21</f>
        <v/>
      </c>
      <c r="X76" s="67">
        <f>'Cash Flow'!X21</f>
        <v/>
      </c>
      <c r="Y76" s="67">
        <f>'Cash Flow'!Y21</f>
        <v/>
      </c>
      <c r="Z76" s="67">
        <f>'Cash Flow'!Z21</f>
        <v/>
      </c>
      <c r="AA76" s="67">
        <f>'Cash Flow'!AA21</f>
        <v/>
      </c>
      <c r="AB76" s="67">
        <f>'Cash Flow'!AB21</f>
        <v/>
      </c>
      <c r="AC76" s="67">
        <f>'Cash Flow'!AC21</f>
        <v/>
      </c>
      <c r="AD76" s="67">
        <f>'Cash Flow'!AD21</f>
        <v/>
      </c>
      <c r="AE76" s="67">
        <f>'Cash Flow'!AE21</f>
        <v/>
      </c>
      <c r="AF76" s="67">
        <f>'Cash Flow'!AF21</f>
        <v/>
      </c>
      <c r="AG76" s="67">
        <f>'Cash Flow'!AG21</f>
        <v/>
      </c>
      <c r="AH76" s="67">
        <f>'Cash Flow'!AH21</f>
        <v/>
      </c>
      <c r="AI76" s="67">
        <f>'Cash Flow'!AI21</f>
        <v/>
      </c>
      <c r="AJ76" s="67">
        <f>'Cash Flow'!AJ21</f>
        <v/>
      </c>
      <c r="AK76" s="67">
        <f>'Cash Flow'!AK21</f>
        <v/>
      </c>
      <c r="AL76" s="67">
        <f>'Cash Flow'!AL21</f>
        <v/>
      </c>
      <c r="AN76" s="58">
        <f>N76</f>
        <v/>
      </c>
      <c r="AO76" s="58">
        <f>Z76</f>
        <v/>
      </c>
      <c r="AP76" s="58">
        <f>AL76</f>
        <v/>
      </c>
    </row>
    <row r="77">
      <c r="A77" s="33" t="inlineStr">
        <is>
          <t>Runway</t>
        </is>
      </c>
      <c r="B77" s="34" t="inlineStr">
        <is>
          <t>mo</t>
        </is>
      </c>
      <c r="C77" s="80">
        <f>'Cash Flow'!C26</f>
        <v/>
      </c>
      <c r="D77" s="80">
        <f>'Cash Flow'!D26</f>
        <v/>
      </c>
      <c r="E77" s="80">
        <f>'Cash Flow'!E26</f>
        <v/>
      </c>
      <c r="F77" s="80">
        <f>'Cash Flow'!F26</f>
        <v/>
      </c>
      <c r="G77" s="80">
        <f>'Cash Flow'!G26</f>
        <v/>
      </c>
      <c r="H77" s="80">
        <f>'Cash Flow'!H26</f>
        <v/>
      </c>
      <c r="I77" s="80">
        <f>'Cash Flow'!I26</f>
        <v/>
      </c>
      <c r="J77" s="80">
        <f>'Cash Flow'!J26</f>
        <v/>
      </c>
      <c r="K77" s="80">
        <f>'Cash Flow'!K26</f>
        <v/>
      </c>
      <c r="L77" s="80">
        <f>'Cash Flow'!L26</f>
        <v/>
      </c>
      <c r="M77" s="80">
        <f>'Cash Flow'!M26</f>
        <v/>
      </c>
      <c r="N77" s="80">
        <f>'Cash Flow'!N26</f>
        <v/>
      </c>
      <c r="O77" s="80">
        <f>'Cash Flow'!O26</f>
        <v/>
      </c>
      <c r="P77" s="80">
        <f>'Cash Flow'!P26</f>
        <v/>
      </c>
      <c r="Q77" s="80">
        <f>'Cash Flow'!Q26</f>
        <v/>
      </c>
      <c r="R77" s="80">
        <f>'Cash Flow'!R26</f>
        <v/>
      </c>
      <c r="S77" s="80">
        <f>'Cash Flow'!S26</f>
        <v/>
      </c>
      <c r="T77" s="80">
        <f>'Cash Flow'!T26</f>
        <v/>
      </c>
      <c r="U77" s="80">
        <f>'Cash Flow'!U26</f>
        <v/>
      </c>
      <c r="V77" s="80">
        <f>'Cash Flow'!V26</f>
        <v/>
      </c>
      <c r="W77" s="80">
        <f>'Cash Flow'!W26</f>
        <v/>
      </c>
      <c r="X77" s="80">
        <f>'Cash Flow'!X26</f>
        <v/>
      </c>
      <c r="Y77" s="80">
        <f>'Cash Flow'!Y26</f>
        <v/>
      </c>
      <c r="Z77" s="80">
        <f>'Cash Flow'!Z26</f>
        <v/>
      </c>
      <c r="AA77" s="80">
        <f>'Cash Flow'!AA26</f>
        <v/>
      </c>
      <c r="AB77" s="80">
        <f>'Cash Flow'!AB26</f>
        <v/>
      </c>
      <c r="AC77" s="80">
        <f>'Cash Flow'!AC26</f>
        <v/>
      </c>
      <c r="AD77" s="80">
        <f>'Cash Flow'!AD26</f>
        <v/>
      </c>
      <c r="AE77" s="80">
        <f>'Cash Flow'!AE26</f>
        <v/>
      </c>
      <c r="AF77" s="80">
        <f>'Cash Flow'!AF26</f>
        <v/>
      </c>
      <c r="AG77" s="80">
        <f>'Cash Flow'!AG26</f>
        <v/>
      </c>
      <c r="AH77" s="80">
        <f>'Cash Flow'!AH26</f>
        <v/>
      </c>
      <c r="AI77" s="80">
        <f>'Cash Flow'!AI26</f>
        <v/>
      </c>
      <c r="AJ77" s="80">
        <f>'Cash Flow'!AJ26</f>
        <v/>
      </c>
      <c r="AK77" s="80">
        <f>'Cash Flow'!AK26</f>
        <v/>
      </c>
      <c r="AL77" s="80">
        <f>'Cash Flow'!AL26</f>
        <v/>
      </c>
    </row>
    <row r="79">
      <c r="A79" s="24" t="inlineStr">
        <is>
          <t>Headcount by department (chart source)</t>
        </is>
      </c>
    </row>
    <row r="80">
      <c r="A80" s="63" t="inlineStr">
        <is>
          <t>Engineering</t>
        </is>
      </c>
      <c r="B80" s="34" t="inlineStr">
        <is>
          <t>#</t>
        </is>
      </c>
      <c r="C80" s="81">
        <f>Headcount!C16</f>
        <v/>
      </c>
      <c r="D80" s="81">
        <f>Headcount!D16</f>
        <v/>
      </c>
      <c r="E80" s="81">
        <f>Headcount!E16</f>
        <v/>
      </c>
      <c r="F80" s="81">
        <f>Headcount!F16</f>
        <v/>
      </c>
      <c r="G80" s="81">
        <f>Headcount!G16</f>
        <v/>
      </c>
      <c r="H80" s="81">
        <f>Headcount!H16</f>
        <v/>
      </c>
      <c r="I80" s="81">
        <f>Headcount!I16</f>
        <v/>
      </c>
      <c r="J80" s="81">
        <f>Headcount!J16</f>
        <v/>
      </c>
      <c r="K80" s="81">
        <f>Headcount!K16</f>
        <v/>
      </c>
      <c r="L80" s="81">
        <f>Headcount!L16</f>
        <v/>
      </c>
      <c r="M80" s="81">
        <f>Headcount!M16</f>
        <v/>
      </c>
      <c r="N80" s="81">
        <f>Headcount!N16</f>
        <v/>
      </c>
      <c r="O80" s="81">
        <f>Headcount!O16</f>
        <v/>
      </c>
      <c r="P80" s="81">
        <f>Headcount!P16</f>
        <v/>
      </c>
      <c r="Q80" s="81">
        <f>Headcount!Q16</f>
        <v/>
      </c>
      <c r="R80" s="81">
        <f>Headcount!R16</f>
        <v/>
      </c>
      <c r="S80" s="81">
        <f>Headcount!S16</f>
        <v/>
      </c>
      <c r="T80" s="81">
        <f>Headcount!T16</f>
        <v/>
      </c>
      <c r="U80" s="81">
        <f>Headcount!U16</f>
        <v/>
      </c>
      <c r="V80" s="81">
        <f>Headcount!V16</f>
        <v/>
      </c>
      <c r="W80" s="81">
        <f>Headcount!W16</f>
        <v/>
      </c>
      <c r="X80" s="81">
        <f>Headcount!X16</f>
        <v/>
      </c>
      <c r="Y80" s="81">
        <f>Headcount!Y16</f>
        <v/>
      </c>
      <c r="Z80" s="81">
        <f>Headcount!Z16</f>
        <v/>
      </c>
      <c r="AA80" s="81">
        <f>Headcount!AA16</f>
        <v/>
      </c>
      <c r="AB80" s="81">
        <f>Headcount!AB16</f>
        <v/>
      </c>
      <c r="AC80" s="81">
        <f>Headcount!AC16</f>
        <v/>
      </c>
      <c r="AD80" s="81">
        <f>Headcount!AD16</f>
        <v/>
      </c>
      <c r="AE80" s="81">
        <f>Headcount!AE16</f>
        <v/>
      </c>
      <c r="AF80" s="81">
        <f>Headcount!AF16</f>
        <v/>
      </c>
      <c r="AG80" s="81">
        <f>Headcount!AG16</f>
        <v/>
      </c>
      <c r="AH80" s="81">
        <f>Headcount!AH16</f>
        <v/>
      </c>
      <c r="AI80" s="81">
        <f>Headcount!AI16</f>
        <v/>
      </c>
      <c r="AJ80" s="81">
        <f>Headcount!AJ16</f>
        <v/>
      </c>
      <c r="AK80" s="81">
        <f>Headcount!AK16</f>
        <v/>
      </c>
      <c r="AL80" s="81">
        <f>Headcount!AL16</f>
        <v/>
      </c>
    </row>
    <row r="81">
      <c r="A81" s="63" t="inlineStr">
        <is>
          <t>Product</t>
        </is>
      </c>
      <c r="B81" s="34" t="inlineStr">
        <is>
          <t>#</t>
        </is>
      </c>
      <c r="C81" s="81">
        <f>Headcount!C17</f>
        <v/>
      </c>
      <c r="D81" s="81">
        <f>Headcount!D17</f>
        <v/>
      </c>
      <c r="E81" s="81">
        <f>Headcount!E17</f>
        <v/>
      </c>
      <c r="F81" s="81">
        <f>Headcount!F17</f>
        <v/>
      </c>
      <c r="G81" s="81">
        <f>Headcount!G17</f>
        <v/>
      </c>
      <c r="H81" s="81">
        <f>Headcount!H17</f>
        <v/>
      </c>
      <c r="I81" s="81">
        <f>Headcount!I17</f>
        <v/>
      </c>
      <c r="J81" s="81">
        <f>Headcount!J17</f>
        <v/>
      </c>
      <c r="K81" s="81">
        <f>Headcount!K17</f>
        <v/>
      </c>
      <c r="L81" s="81">
        <f>Headcount!L17</f>
        <v/>
      </c>
      <c r="M81" s="81">
        <f>Headcount!M17</f>
        <v/>
      </c>
      <c r="N81" s="81">
        <f>Headcount!N17</f>
        <v/>
      </c>
      <c r="O81" s="81">
        <f>Headcount!O17</f>
        <v/>
      </c>
      <c r="P81" s="81">
        <f>Headcount!P17</f>
        <v/>
      </c>
      <c r="Q81" s="81">
        <f>Headcount!Q17</f>
        <v/>
      </c>
      <c r="R81" s="81">
        <f>Headcount!R17</f>
        <v/>
      </c>
      <c r="S81" s="81">
        <f>Headcount!S17</f>
        <v/>
      </c>
      <c r="T81" s="81">
        <f>Headcount!T17</f>
        <v/>
      </c>
      <c r="U81" s="81">
        <f>Headcount!U17</f>
        <v/>
      </c>
      <c r="V81" s="81">
        <f>Headcount!V17</f>
        <v/>
      </c>
      <c r="W81" s="81">
        <f>Headcount!W17</f>
        <v/>
      </c>
      <c r="X81" s="81">
        <f>Headcount!X17</f>
        <v/>
      </c>
      <c r="Y81" s="81">
        <f>Headcount!Y17</f>
        <v/>
      </c>
      <c r="Z81" s="81">
        <f>Headcount!Z17</f>
        <v/>
      </c>
      <c r="AA81" s="81">
        <f>Headcount!AA17</f>
        <v/>
      </c>
      <c r="AB81" s="81">
        <f>Headcount!AB17</f>
        <v/>
      </c>
      <c r="AC81" s="81">
        <f>Headcount!AC17</f>
        <v/>
      </c>
      <c r="AD81" s="81">
        <f>Headcount!AD17</f>
        <v/>
      </c>
      <c r="AE81" s="81">
        <f>Headcount!AE17</f>
        <v/>
      </c>
      <c r="AF81" s="81">
        <f>Headcount!AF17</f>
        <v/>
      </c>
      <c r="AG81" s="81">
        <f>Headcount!AG17</f>
        <v/>
      </c>
      <c r="AH81" s="81">
        <f>Headcount!AH17</f>
        <v/>
      </c>
      <c r="AI81" s="81">
        <f>Headcount!AI17</f>
        <v/>
      </c>
      <c r="AJ81" s="81">
        <f>Headcount!AJ17</f>
        <v/>
      </c>
      <c r="AK81" s="81">
        <f>Headcount!AK17</f>
        <v/>
      </c>
      <c r="AL81" s="81">
        <f>Headcount!AL17</f>
        <v/>
      </c>
    </row>
    <row r="82">
      <c r="A82" s="63" t="inlineStr">
        <is>
          <t>Sales</t>
        </is>
      </c>
      <c r="B82" s="34" t="inlineStr">
        <is>
          <t>#</t>
        </is>
      </c>
      <c r="C82" s="81">
        <f>Headcount!C18</f>
        <v/>
      </c>
      <c r="D82" s="81">
        <f>Headcount!D18</f>
        <v/>
      </c>
      <c r="E82" s="81">
        <f>Headcount!E18</f>
        <v/>
      </c>
      <c r="F82" s="81">
        <f>Headcount!F18</f>
        <v/>
      </c>
      <c r="G82" s="81">
        <f>Headcount!G18</f>
        <v/>
      </c>
      <c r="H82" s="81">
        <f>Headcount!H18</f>
        <v/>
      </c>
      <c r="I82" s="81">
        <f>Headcount!I18</f>
        <v/>
      </c>
      <c r="J82" s="81">
        <f>Headcount!J18</f>
        <v/>
      </c>
      <c r="K82" s="81">
        <f>Headcount!K18</f>
        <v/>
      </c>
      <c r="L82" s="81">
        <f>Headcount!L18</f>
        <v/>
      </c>
      <c r="M82" s="81">
        <f>Headcount!M18</f>
        <v/>
      </c>
      <c r="N82" s="81">
        <f>Headcount!N18</f>
        <v/>
      </c>
      <c r="O82" s="81">
        <f>Headcount!O18</f>
        <v/>
      </c>
      <c r="P82" s="81">
        <f>Headcount!P18</f>
        <v/>
      </c>
      <c r="Q82" s="81">
        <f>Headcount!Q18</f>
        <v/>
      </c>
      <c r="R82" s="81">
        <f>Headcount!R18</f>
        <v/>
      </c>
      <c r="S82" s="81">
        <f>Headcount!S18</f>
        <v/>
      </c>
      <c r="T82" s="81">
        <f>Headcount!T18</f>
        <v/>
      </c>
      <c r="U82" s="81">
        <f>Headcount!U18</f>
        <v/>
      </c>
      <c r="V82" s="81">
        <f>Headcount!V18</f>
        <v/>
      </c>
      <c r="W82" s="81">
        <f>Headcount!W18</f>
        <v/>
      </c>
      <c r="X82" s="81">
        <f>Headcount!X18</f>
        <v/>
      </c>
      <c r="Y82" s="81">
        <f>Headcount!Y18</f>
        <v/>
      </c>
      <c r="Z82" s="81">
        <f>Headcount!Z18</f>
        <v/>
      </c>
      <c r="AA82" s="81">
        <f>Headcount!AA18</f>
        <v/>
      </c>
      <c r="AB82" s="81">
        <f>Headcount!AB18</f>
        <v/>
      </c>
      <c r="AC82" s="81">
        <f>Headcount!AC18</f>
        <v/>
      </c>
      <c r="AD82" s="81">
        <f>Headcount!AD18</f>
        <v/>
      </c>
      <c r="AE82" s="81">
        <f>Headcount!AE18</f>
        <v/>
      </c>
      <c r="AF82" s="81">
        <f>Headcount!AF18</f>
        <v/>
      </c>
      <c r="AG82" s="81">
        <f>Headcount!AG18</f>
        <v/>
      </c>
      <c r="AH82" s="81">
        <f>Headcount!AH18</f>
        <v/>
      </c>
      <c r="AI82" s="81">
        <f>Headcount!AI18</f>
        <v/>
      </c>
      <c r="AJ82" s="81">
        <f>Headcount!AJ18</f>
        <v/>
      </c>
      <c r="AK82" s="81">
        <f>Headcount!AK18</f>
        <v/>
      </c>
      <c r="AL82" s="81">
        <f>Headcount!AL18</f>
        <v/>
      </c>
    </row>
    <row r="83">
      <c r="A83" s="63" t="inlineStr">
        <is>
          <t>Marketing</t>
        </is>
      </c>
      <c r="B83" s="34" t="inlineStr">
        <is>
          <t>#</t>
        </is>
      </c>
      <c r="C83" s="81">
        <f>Headcount!C19</f>
        <v/>
      </c>
      <c r="D83" s="81">
        <f>Headcount!D19</f>
        <v/>
      </c>
      <c r="E83" s="81">
        <f>Headcount!E19</f>
        <v/>
      </c>
      <c r="F83" s="81">
        <f>Headcount!F19</f>
        <v/>
      </c>
      <c r="G83" s="81">
        <f>Headcount!G19</f>
        <v/>
      </c>
      <c r="H83" s="81">
        <f>Headcount!H19</f>
        <v/>
      </c>
      <c r="I83" s="81">
        <f>Headcount!I19</f>
        <v/>
      </c>
      <c r="J83" s="81">
        <f>Headcount!J19</f>
        <v/>
      </c>
      <c r="K83" s="81">
        <f>Headcount!K19</f>
        <v/>
      </c>
      <c r="L83" s="81">
        <f>Headcount!L19</f>
        <v/>
      </c>
      <c r="M83" s="81">
        <f>Headcount!M19</f>
        <v/>
      </c>
      <c r="N83" s="81">
        <f>Headcount!N19</f>
        <v/>
      </c>
      <c r="O83" s="81">
        <f>Headcount!O19</f>
        <v/>
      </c>
      <c r="P83" s="81">
        <f>Headcount!P19</f>
        <v/>
      </c>
      <c r="Q83" s="81">
        <f>Headcount!Q19</f>
        <v/>
      </c>
      <c r="R83" s="81">
        <f>Headcount!R19</f>
        <v/>
      </c>
      <c r="S83" s="81">
        <f>Headcount!S19</f>
        <v/>
      </c>
      <c r="T83" s="81">
        <f>Headcount!T19</f>
        <v/>
      </c>
      <c r="U83" s="81">
        <f>Headcount!U19</f>
        <v/>
      </c>
      <c r="V83" s="81">
        <f>Headcount!V19</f>
        <v/>
      </c>
      <c r="W83" s="81">
        <f>Headcount!W19</f>
        <v/>
      </c>
      <c r="X83" s="81">
        <f>Headcount!X19</f>
        <v/>
      </c>
      <c r="Y83" s="81">
        <f>Headcount!Y19</f>
        <v/>
      </c>
      <c r="Z83" s="81">
        <f>Headcount!Z19</f>
        <v/>
      </c>
      <c r="AA83" s="81">
        <f>Headcount!AA19</f>
        <v/>
      </c>
      <c r="AB83" s="81">
        <f>Headcount!AB19</f>
        <v/>
      </c>
      <c r="AC83" s="81">
        <f>Headcount!AC19</f>
        <v/>
      </c>
      <c r="AD83" s="81">
        <f>Headcount!AD19</f>
        <v/>
      </c>
      <c r="AE83" s="81">
        <f>Headcount!AE19</f>
        <v/>
      </c>
      <c r="AF83" s="81">
        <f>Headcount!AF19</f>
        <v/>
      </c>
      <c r="AG83" s="81">
        <f>Headcount!AG19</f>
        <v/>
      </c>
      <c r="AH83" s="81">
        <f>Headcount!AH19</f>
        <v/>
      </c>
      <c r="AI83" s="81">
        <f>Headcount!AI19</f>
        <v/>
      </c>
      <c r="AJ83" s="81">
        <f>Headcount!AJ19</f>
        <v/>
      </c>
      <c r="AK83" s="81">
        <f>Headcount!AK19</f>
        <v/>
      </c>
      <c r="AL83" s="81">
        <f>Headcount!AL19</f>
        <v/>
      </c>
    </row>
    <row r="84">
      <c r="A84" s="63" t="inlineStr">
        <is>
          <t>Customer Success</t>
        </is>
      </c>
      <c r="B84" s="34" t="inlineStr">
        <is>
          <t>#</t>
        </is>
      </c>
      <c r="C84" s="81">
        <f>Headcount!C20</f>
        <v/>
      </c>
      <c r="D84" s="81">
        <f>Headcount!D20</f>
        <v/>
      </c>
      <c r="E84" s="81">
        <f>Headcount!E20</f>
        <v/>
      </c>
      <c r="F84" s="81">
        <f>Headcount!F20</f>
        <v/>
      </c>
      <c r="G84" s="81">
        <f>Headcount!G20</f>
        <v/>
      </c>
      <c r="H84" s="81">
        <f>Headcount!H20</f>
        <v/>
      </c>
      <c r="I84" s="81">
        <f>Headcount!I20</f>
        <v/>
      </c>
      <c r="J84" s="81">
        <f>Headcount!J20</f>
        <v/>
      </c>
      <c r="K84" s="81">
        <f>Headcount!K20</f>
        <v/>
      </c>
      <c r="L84" s="81">
        <f>Headcount!L20</f>
        <v/>
      </c>
      <c r="M84" s="81">
        <f>Headcount!M20</f>
        <v/>
      </c>
      <c r="N84" s="81">
        <f>Headcount!N20</f>
        <v/>
      </c>
      <c r="O84" s="81">
        <f>Headcount!O20</f>
        <v/>
      </c>
      <c r="P84" s="81">
        <f>Headcount!P20</f>
        <v/>
      </c>
      <c r="Q84" s="81">
        <f>Headcount!Q20</f>
        <v/>
      </c>
      <c r="R84" s="81">
        <f>Headcount!R20</f>
        <v/>
      </c>
      <c r="S84" s="81">
        <f>Headcount!S20</f>
        <v/>
      </c>
      <c r="T84" s="81">
        <f>Headcount!T20</f>
        <v/>
      </c>
      <c r="U84" s="81">
        <f>Headcount!U20</f>
        <v/>
      </c>
      <c r="V84" s="81">
        <f>Headcount!V20</f>
        <v/>
      </c>
      <c r="W84" s="81">
        <f>Headcount!W20</f>
        <v/>
      </c>
      <c r="X84" s="81">
        <f>Headcount!X20</f>
        <v/>
      </c>
      <c r="Y84" s="81">
        <f>Headcount!Y20</f>
        <v/>
      </c>
      <c r="Z84" s="81">
        <f>Headcount!Z20</f>
        <v/>
      </c>
      <c r="AA84" s="81">
        <f>Headcount!AA20</f>
        <v/>
      </c>
      <c r="AB84" s="81">
        <f>Headcount!AB20</f>
        <v/>
      </c>
      <c r="AC84" s="81">
        <f>Headcount!AC20</f>
        <v/>
      </c>
      <c r="AD84" s="81">
        <f>Headcount!AD20</f>
        <v/>
      </c>
      <c r="AE84" s="81">
        <f>Headcount!AE20</f>
        <v/>
      </c>
      <c r="AF84" s="81">
        <f>Headcount!AF20</f>
        <v/>
      </c>
      <c r="AG84" s="81">
        <f>Headcount!AG20</f>
        <v/>
      </c>
      <c r="AH84" s="81">
        <f>Headcount!AH20</f>
        <v/>
      </c>
      <c r="AI84" s="81">
        <f>Headcount!AI20</f>
        <v/>
      </c>
      <c r="AJ84" s="81">
        <f>Headcount!AJ20</f>
        <v/>
      </c>
      <c r="AK84" s="81">
        <f>Headcount!AK20</f>
        <v/>
      </c>
      <c r="AL84" s="81">
        <f>Headcount!AL20</f>
        <v/>
      </c>
    </row>
    <row r="85">
      <c r="A85" s="63" t="inlineStr">
        <is>
          <t>G&amp;A</t>
        </is>
      </c>
      <c r="B85" s="34" t="inlineStr">
        <is>
          <t>#</t>
        </is>
      </c>
      <c r="C85" s="81">
        <f>Headcount!C21</f>
        <v/>
      </c>
      <c r="D85" s="81">
        <f>Headcount!D21</f>
        <v/>
      </c>
      <c r="E85" s="81">
        <f>Headcount!E21</f>
        <v/>
      </c>
      <c r="F85" s="81">
        <f>Headcount!F21</f>
        <v/>
      </c>
      <c r="G85" s="81">
        <f>Headcount!G21</f>
        <v/>
      </c>
      <c r="H85" s="81">
        <f>Headcount!H21</f>
        <v/>
      </c>
      <c r="I85" s="81">
        <f>Headcount!I21</f>
        <v/>
      </c>
      <c r="J85" s="81">
        <f>Headcount!J21</f>
        <v/>
      </c>
      <c r="K85" s="81">
        <f>Headcount!K21</f>
        <v/>
      </c>
      <c r="L85" s="81">
        <f>Headcount!L21</f>
        <v/>
      </c>
      <c r="M85" s="81">
        <f>Headcount!M21</f>
        <v/>
      </c>
      <c r="N85" s="81">
        <f>Headcount!N21</f>
        <v/>
      </c>
      <c r="O85" s="81">
        <f>Headcount!O21</f>
        <v/>
      </c>
      <c r="P85" s="81">
        <f>Headcount!P21</f>
        <v/>
      </c>
      <c r="Q85" s="81">
        <f>Headcount!Q21</f>
        <v/>
      </c>
      <c r="R85" s="81">
        <f>Headcount!R21</f>
        <v/>
      </c>
      <c r="S85" s="81">
        <f>Headcount!S21</f>
        <v/>
      </c>
      <c r="T85" s="81">
        <f>Headcount!T21</f>
        <v/>
      </c>
      <c r="U85" s="81">
        <f>Headcount!U21</f>
        <v/>
      </c>
      <c r="V85" s="81">
        <f>Headcount!V21</f>
        <v/>
      </c>
      <c r="W85" s="81">
        <f>Headcount!W21</f>
        <v/>
      </c>
      <c r="X85" s="81">
        <f>Headcount!X21</f>
        <v/>
      </c>
      <c r="Y85" s="81">
        <f>Headcount!Y21</f>
        <v/>
      </c>
      <c r="Z85" s="81">
        <f>Headcount!Z21</f>
        <v/>
      </c>
      <c r="AA85" s="81">
        <f>Headcount!AA21</f>
        <v/>
      </c>
      <c r="AB85" s="81">
        <f>Headcount!AB21</f>
        <v/>
      </c>
      <c r="AC85" s="81">
        <f>Headcount!AC21</f>
        <v/>
      </c>
      <c r="AD85" s="81">
        <f>Headcount!AD21</f>
        <v/>
      </c>
      <c r="AE85" s="81">
        <f>Headcount!AE21</f>
        <v/>
      </c>
      <c r="AF85" s="81">
        <f>Headcount!AF21</f>
        <v/>
      </c>
      <c r="AG85" s="81">
        <f>Headcount!AG21</f>
        <v/>
      </c>
      <c r="AH85" s="81">
        <f>Headcount!AH21</f>
        <v/>
      </c>
      <c r="AI85" s="81">
        <f>Headcount!AI21</f>
        <v/>
      </c>
      <c r="AJ85" s="81">
        <f>Headcount!AJ21</f>
        <v/>
      </c>
      <c r="AK85" s="81">
        <f>Headcount!AK21</f>
        <v/>
      </c>
      <c r="AL85" s="81">
        <f>Headcount!AL21</f>
        <v/>
      </c>
    </row>
    <row r="88">
      <c r="A88" s="24" t="inlineStr">
        <is>
          <t>ARR bridge helper (chart source), Jan-26 to Dec-28</t>
        </is>
      </c>
    </row>
    <row r="89">
      <c r="C89" s="34" t="inlineStr">
        <is>
          <t>Opening ARR</t>
        </is>
      </c>
      <c r="D89" s="34" t="inlineStr">
        <is>
          <t>New business</t>
        </is>
      </c>
      <c r="E89" s="34" t="inlineStr">
        <is>
          <t>Expansion</t>
        </is>
      </c>
      <c r="F89" s="34" t="inlineStr">
        <is>
          <t>Churn</t>
        </is>
      </c>
      <c r="G89" s="34" t="inlineStr">
        <is>
          <t>Closing ARR</t>
        </is>
      </c>
    </row>
    <row r="90">
      <c r="A90" s="82" t="inlineStr">
        <is>
          <t>base (invisible)</t>
        </is>
      </c>
      <c r="C90" s="111">
        <f>0</f>
        <v/>
      </c>
      <c r="D90" s="111">
        <f>'Revenue Model'!C41</f>
        <v/>
      </c>
      <c r="E90" s="111">
        <f>'Revenue Model'!C41+SUM('Revenue Model'!C42:AL42)</f>
        <v/>
      </c>
      <c r="F90" s="111">
        <f>'Revenue Model'!AL45</f>
        <v/>
      </c>
      <c r="G90" s="111">
        <f>0</f>
        <v/>
      </c>
    </row>
    <row r="91">
      <c r="A91" s="82" t="inlineStr">
        <is>
          <t>opening / closing</t>
        </is>
      </c>
      <c r="C91" s="111">
        <f>'Revenue Model'!C41</f>
        <v/>
      </c>
      <c r="D91" s="111">
        <f>0</f>
        <v/>
      </c>
      <c r="E91" s="111">
        <f>0</f>
        <v/>
      </c>
      <c r="F91" s="111">
        <f>0</f>
        <v/>
      </c>
      <c r="G91" s="111">
        <f>'Revenue Model'!AL45</f>
        <v/>
      </c>
    </row>
    <row r="92">
      <c r="A92" s="82" t="inlineStr">
        <is>
          <t>increase</t>
        </is>
      </c>
      <c r="C92" s="111">
        <f>0</f>
        <v/>
      </c>
      <c r="D92" s="111">
        <f>SUM('Revenue Model'!C42:AL42)</f>
        <v/>
      </c>
      <c r="E92" s="111">
        <f>SUM('Revenue Model'!C43:AL43)</f>
        <v/>
      </c>
      <c r="F92" s="111">
        <f>0</f>
        <v/>
      </c>
      <c r="G92" s="111">
        <f>0</f>
        <v/>
      </c>
    </row>
    <row r="93">
      <c r="A93" s="82" t="inlineStr">
        <is>
          <t>decrease</t>
        </is>
      </c>
      <c r="C93" s="111">
        <f>0</f>
        <v/>
      </c>
      <c r="D93" s="111">
        <f>0</f>
        <v/>
      </c>
      <c r="E93" s="111">
        <f>0</f>
        <v/>
      </c>
      <c r="F93" s="111">
        <f>-SUM('Revenue Model'!C44:AL44)</f>
        <v/>
      </c>
      <c r="G93" s="111">
        <f>0</f>
        <v/>
      </c>
    </row>
    <row r="95">
      <c r="A95" s="82" t="inlineStr">
        <is>
          <t>zero line (chart source)</t>
        </is>
      </c>
      <c r="C95" s="84">
        <f>0</f>
        <v/>
      </c>
      <c r="D95" s="84">
        <f>0</f>
        <v/>
      </c>
      <c r="E95" s="84">
        <f>0</f>
        <v/>
      </c>
      <c r="F95" s="84">
        <f>0</f>
        <v/>
      </c>
      <c r="G95" s="84">
        <f>0</f>
        <v/>
      </c>
      <c r="H95" s="84">
        <f>0</f>
        <v/>
      </c>
      <c r="I95" s="84">
        <f>0</f>
        <v/>
      </c>
      <c r="J95" s="84">
        <f>0</f>
        <v/>
      </c>
      <c r="K95" s="84">
        <f>0</f>
        <v/>
      </c>
      <c r="L95" s="84">
        <f>0</f>
        <v/>
      </c>
      <c r="M95" s="84">
        <f>0</f>
        <v/>
      </c>
      <c r="N95" s="84">
        <f>0</f>
        <v/>
      </c>
      <c r="O95" s="84">
        <f>0</f>
        <v/>
      </c>
      <c r="P95" s="84">
        <f>0</f>
        <v/>
      </c>
      <c r="Q95" s="84">
        <f>0</f>
        <v/>
      </c>
      <c r="R95" s="84">
        <f>0</f>
        <v/>
      </c>
      <c r="S95" s="84">
        <f>0</f>
        <v/>
      </c>
      <c r="T95" s="84">
        <f>0</f>
        <v/>
      </c>
      <c r="U95" s="84">
        <f>0</f>
        <v/>
      </c>
      <c r="V95" s="84">
        <f>0</f>
        <v/>
      </c>
      <c r="W95" s="84">
        <f>0</f>
        <v/>
      </c>
      <c r="X95" s="84">
        <f>0</f>
        <v/>
      </c>
      <c r="Y95" s="84">
        <f>0</f>
        <v/>
      </c>
      <c r="Z95" s="84">
        <f>0</f>
        <v/>
      </c>
      <c r="AA95" s="84">
        <f>0</f>
        <v/>
      </c>
      <c r="AB95" s="84">
        <f>0</f>
        <v/>
      </c>
      <c r="AC95" s="84">
        <f>0</f>
        <v/>
      </c>
      <c r="AD95" s="84">
        <f>0</f>
        <v/>
      </c>
      <c r="AE95" s="84">
        <f>0</f>
        <v/>
      </c>
      <c r="AF95" s="84">
        <f>0</f>
        <v/>
      </c>
      <c r="AG95" s="84">
        <f>0</f>
        <v/>
      </c>
      <c r="AH95" s="84">
        <f>0</f>
        <v/>
      </c>
      <c r="AI95" s="84">
        <f>0</f>
        <v/>
      </c>
      <c r="AJ95" s="84">
        <f>0</f>
        <v/>
      </c>
      <c r="AK95" s="84">
        <f>0</f>
        <v/>
      </c>
      <c r="AL95" s="84">
        <f>0</f>
        <v/>
      </c>
    </row>
  </sheetData>
  <mergeCells count="60">
    <mergeCell ref="C16:E16"/>
    <mergeCell ref="S7:U7"/>
    <mergeCell ref="G10:I10"/>
    <mergeCell ref="G6:I6"/>
    <mergeCell ref="K12:M12"/>
    <mergeCell ref="O16:Q16"/>
    <mergeCell ref="W7:Y7"/>
    <mergeCell ref="C12:E12"/>
    <mergeCell ref="G15:I15"/>
    <mergeCell ref="W16:Y16"/>
    <mergeCell ref="S10:U10"/>
    <mergeCell ref="W12:Y12"/>
    <mergeCell ref="E4:F4"/>
    <mergeCell ref="S6:U6"/>
    <mergeCell ref="K8:M8"/>
    <mergeCell ref="C11:E11"/>
    <mergeCell ref="AA16:AC16"/>
    <mergeCell ref="S15:U15"/>
    <mergeCell ref="C8:E8"/>
    <mergeCell ref="O12:Q12"/>
    <mergeCell ref="C17:E17"/>
    <mergeCell ref="O17:Q17"/>
    <mergeCell ref="I4:K4"/>
    <mergeCell ref="K17:M17"/>
    <mergeCell ref="C7:E7"/>
    <mergeCell ref="O8:Q8"/>
    <mergeCell ref="W17:Y17"/>
    <mergeCell ref="O4:P4"/>
    <mergeCell ref="W8:Y8"/>
    <mergeCell ref="K7:M7"/>
    <mergeCell ref="W11:Y11"/>
    <mergeCell ref="O11:Q11"/>
    <mergeCell ref="G16:I16"/>
    <mergeCell ref="S11:U11"/>
    <mergeCell ref="K10:M10"/>
    <mergeCell ref="K6:M6"/>
    <mergeCell ref="AA17:AC17"/>
    <mergeCell ref="O7:Q7"/>
    <mergeCell ref="G12:I12"/>
    <mergeCell ref="K16:M16"/>
    <mergeCell ref="C15:E15"/>
    <mergeCell ref="S16:U16"/>
    <mergeCell ref="O10:Q10"/>
    <mergeCell ref="C6:E6"/>
    <mergeCell ref="S12:U12"/>
    <mergeCell ref="G11:I11"/>
    <mergeCell ref="W10:Y10"/>
    <mergeCell ref="K15:M15"/>
    <mergeCell ref="W6:Y6"/>
    <mergeCell ref="O15:Q15"/>
    <mergeCell ref="C10:E10"/>
    <mergeCell ref="O6:Q6"/>
    <mergeCell ref="W15:Y15"/>
    <mergeCell ref="G7:I7"/>
    <mergeCell ref="G8:I8"/>
    <mergeCell ref="G17:I17"/>
    <mergeCell ref="S17:U17"/>
    <mergeCell ref="S8:U8"/>
    <mergeCell ref="K11:M11"/>
    <mergeCell ref="AA15:AC15"/>
  </mergeCells>
  <conditionalFormatting sqref="C16">
    <cfRule type="cellIs" priority="8" operator="greaterThanOrEqual" dxfId="2">
      <formula>1</formula>
    </cfRule>
    <cfRule type="cellIs" priority="9" operator="between" dxfId="1">
      <formula>0.95</formula>
      <formula>1</formula>
    </cfRule>
    <cfRule type="cellIs" priority="10" operator="lessThan" dxfId="0">
      <formula>0.95</formula>
    </cfRule>
  </conditionalFormatting>
  <conditionalFormatting sqref="O11">
    <cfRule type="cellIs" priority="2" operator="lessThan" dxfId="0">
      <formula>12</formula>
    </cfRule>
    <cfRule type="cellIs" priority="3" operator="between" dxfId="1">
      <formula>12</formula>
      <formula>18</formula>
    </cfRule>
    <cfRule type="cellIs" priority="4" operator="greaterThanOrEqual" dxfId="2">
      <formula>18</formula>
    </cfRule>
  </conditionalFormatting>
  <conditionalFormatting sqref="S7">
    <cfRule type="cellIs" priority="14" operator="greaterThanOrEqual" dxfId="2">
      <formula>0</formula>
    </cfRule>
    <cfRule type="cellIs" priority="15" operator="between" dxfId="1">
      <formula>-0.3</formula>
      <formula>0</formula>
    </cfRule>
    <cfRule type="cellIs" priority="16" operator="lessThan" dxfId="0">
      <formula>-0.3</formula>
    </cfRule>
  </conditionalFormatting>
  <conditionalFormatting sqref="S16">
    <cfRule type="cellIs" priority="11" operator="greaterThanOrEqual" dxfId="2">
      <formula>3</formula>
    </cfRule>
    <cfRule type="cellIs" priority="12" operator="between" dxfId="1">
      <formula>2</formula>
      <formula>3</formula>
    </cfRule>
    <cfRule type="cellIs" priority="13" operator="lessThan" dxfId="0">
      <formula>2</formula>
    </cfRule>
  </conditionalFormatting>
  <conditionalFormatting sqref="W11">
    <cfRule type="cellIs" priority="5" operator="greaterThanOrEqual" dxfId="2">
      <formula>0.4</formula>
    </cfRule>
    <cfRule type="cellIs" priority="6" operator="between" dxfId="1">
      <formula>0.2</formula>
      <formula>0.4</formula>
    </cfRule>
    <cfRule type="cellIs" priority="7" operator="lessThan" dxfId="0">
      <formula>0.2</formula>
    </cfRule>
  </conditionalFormatting>
  <conditionalFormatting sqref="E4:F4">
    <cfRule type="expression" priority="16" dxfId="17" stopIfTrue="0">
      <formula>$E$4="Optimistic"</formula>
    </cfRule>
    <cfRule type="expression" priority="17" dxfId="18" stopIfTrue="0">
      <formula>$E$4="Downside"</formula>
    </cfRule>
  </conditionalFormatting>
  <hyperlinks>
    <hyperlink xmlns:r="http://schemas.openxmlformats.org/officeDocument/2006/relationships" ref="E1" location="Cover!A1" r:id="rId1"/>
    <hyperlink xmlns:r="http://schemas.openxmlformats.org/officeDocument/2006/relationships" ref="H4" location="'Scenario%20Manager'!C6" r:id="rId2"/>
  </hyperlinks>
  <pageMargins left="0.75" right="0.75" top="1" bottom="1" header="0.5" footer="0.5"/>
  <pageSetup orientation="landscape" fitToHeight="0" horizontalDpi="300" verticalDpi="300"/>
  <headerFooter>
    <oddHeader>&amp;LNovaFlow Analytics&amp;RKPI Dashboard</oddHeader>
    <oddFooter>&amp;LFP&amp;&amp;A Planning Model v1.0&amp;CConfidential&amp;RPage &amp;P of &amp;N</oddFooter>
    <evenHeader/>
    <evenFooter/>
    <firstHeader/>
    <firstFooter/>
  </headerFooter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2026-07-11T19:03:02Z</dcterms:created>
  <dcterms:modified xmlns:dcterms="http://purl.org/dc/terms/" xmlns:xsi="http://www.w3.org/2001/XMLSchema-instance" xsi:type="dcterms:W3CDTF">2026-07-12T10:31:57Z</dcterms:modified>
  <cp:lastModifiedBy>soban farid</cp:lastModifiedBy>
  <cp:revision>1</cp:revision>
</cp:coreProperties>
</file>