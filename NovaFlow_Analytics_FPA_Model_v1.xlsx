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d39b0751da75229/Desktop/FP^0A/"/>
    </mc:Choice>
  </mc:AlternateContent>
  <xr:revisionPtr revIDLastSave="8" documentId="11_1329764490B0425DEA2FDB2B63CC6E2455632C00" xr6:coauthVersionLast="47" xr6:coauthVersionMax="47" xr10:uidLastSave="{420A791B-CCA7-42F0-905B-6027418ABCD0}"/>
  <bookViews>
    <workbookView xWindow="-110" yWindow="-110" windowWidth="19420" windowHeight="11020" tabRatio="500" xr2:uid="{00000000-000D-0000-FFFF-FFFF00000000}"/>
  </bookViews>
  <sheets>
    <sheet name="Cover" sheetId="1" r:id="rId1"/>
    <sheet name="Instructions" sheetId="2" r:id="rId2"/>
    <sheet name="Assumptions" sheetId="3" r:id="rId3"/>
    <sheet name="Scenario Manager" sheetId="4" r:id="rId4"/>
    <sheet name="Revenue Model" sheetId="5" r:id="rId5"/>
    <sheet name="Headcount" sheetId="6" r:id="rId6"/>
    <sheet name="Operating Expenses" sheetId="7" r:id="rId7"/>
    <sheet name="Income Statement" sheetId="8" r:id="rId8"/>
    <sheet name="Cash Flow" sheetId="9" r:id="rId9"/>
    <sheet name="KPI Dashboard" sheetId="10" r:id="rId10"/>
  </sheets>
  <definedNames>
    <definedName name="A_Benefits">Assumptions!$C$27</definedName>
    <definedName name="A_Bonus">Assumptions!$C$26</definedName>
    <definedName name="A_Capex">Assumptions!$C$32</definedName>
    <definedName name="A_Cash0">Assumptions!$C$35</definedName>
    <definedName name="A_CSCogs">Assumptions!$C$17</definedName>
    <definedName name="A_DeptHires">Assumptions!$E$40:$G$45</definedName>
    <definedName name="A_DeptNames">Assumptions!$A$40:$A$45</definedName>
    <definedName name="A_DeptSal">Assumptions!$D$40:$D$45</definedName>
    <definedName name="A_DeptStart">Assumptions!$C$40:$C$45</definedName>
    <definedName name="A_DR0">Assumptions!$C$36</definedName>
    <definedName name="A_EntARPU0">Assumptions!$C$12</definedName>
    <definedName name="A_EntCust0">Assumptions!$C$10</definedName>
    <definedName name="A_HireYears">Assumptions!$E$39:$G$39</definedName>
    <definedName name="A_HostPct">Assumptions!$C$16</definedName>
    <definedName name="A_Life">Assumptions!$C$33</definedName>
    <definedName name="A_Load">Assumptions!$C$29</definedName>
    <definedName name="A_MktgG">Assumptions!$C$23</definedName>
    <definedName name="A_MMARPU0">Assumptions!$C$13</definedName>
    <definedName name="A_MMCust0">Assumptions!$C$11</definedName>
    <definedName name="A_ProfFees">Assumptions!$C$21</definedName>
    <definedName name="A_ProfG">Assumptions!$C$22</definedName>
    <definedName name="A_PTax">Assumptions!$C$28</definedName>
    <definedName name="A_RentHead">Assumptions!$C$19</definedName>
    <definedName name="A_SoftHead">Assumptions!$C$18</definedName>
    <definedName name="A_TaxRate">Assumptions!$C$34</definedName>
    <definedName name="A_TravelPct">Assumptions!$C$20</definedName>
    <definedName name="L_ChurnEnt">'Scenario Manager'!$F$12</definedName>
    <definedName name="L_ChurnMM">'Scenario Manager'!$F$13</definedName>
    <definedName name="L_ExpEnt">'Scenario Manager'!$F$14</definedName>
    <definedName name="L_ExpMM">'Scenario Manager'!$F$15</definedName>
    <definedName name="L_HirePace">'Scenario Manager'!$F$17</definedName>
    <definedName name="L_Mktg">'Scenario Manager'!$F$18</definedName>
    <definedName name="L_NewEnt">'Scenario Manager'!$F$10</definedName>
    <definedName name="L_NewMM">'Scenario Manager'!$F$11</definedName>
    <definedName name="L_Price">'Scenario Manager'!$F$16</definedName>
    <definedName name="L_SalInfl">'Scenario Manager'!$F$19</definedName>
    <definedName name="ModelStart">Assumptions!$C$6</definedName>
    <definedName name="ScenarioList">'Scenario Manager'!$C$9:$E$9</definedName>
    <definedName name="ScenarioSel">'Scenario Manager'!$C$6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5" i="1" l="1"/>
  <c r="AL95" i="10"/>
  <c r="AK95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G93" i="10"/>
  <c r="E93" i="10"/>
  <c r="D93" i="10"/>
  <c r="C93" i="10"/>
  <c r="G92" i="10"/>
  <c r="F92" i="10"/>
  <c r="C92" i="10"/>
  <c r="F91" i="10"/>
  <c r="E91" i="10"/>
  <c r="D91" i="10"/>
  <c r="G90" i="10"/>
  <c r="C90" i="10"/>
  <c r="AN75" i="10"/>
  <c r="G74" i="10"/>
  <c r="F74" i="10"/>
  <c r="E74" i="10"/>
  <c r="D74" i="10"/>
  <c r="C74" i="10"/>
  <c r="AN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C56" i="10"/>
  <c r="D56" i="10" s="1"/>
  <c r="E56" i="10" s="1"/>
  <c r="F56" i="10" s="1"/>
  <c r="G56" i="10" s="1"/>
  <c r="H56" i="10" s="1"/>
  <c r="I56" i="10" s="1"/>
  <c r="J56" i="10" s="1"/>
  <c r="K56" i="10" s="1"/>
  <c r="L56" i="10" s="1"/>
  <c r="M56" i="10" s="1"/>
  <c r="N56" i="10" s="1"/>
  <c r="O56" i="10" s="1"/>
  <c r="P56" i="10" s="1"/>
  <c r="Q56" i="10" s="1"/>
  <c r="R56" i="10" s="1"/>
  <c r="S56" i="10" s="1"/>
  <c r="T56" i="10" s="1"/>
  <c r="U56" i="10" s="1"/>
  <c r="V56" i="10" s="1"/>
  <c r="W56" i="10" s="1"/>
  <c r="X56" i="10" s="1"/>
  <c r="Y56" i="10" s="1"/>
  <c r="Z56" i="10" s="1"/>
  <c r="AA56" i="10" s="1"/>
  <c r="AB56" i="10" s="1"/>
  <c r="AC56" i="10" s="1"/>
  <c r="AD56" i="10" s="1"/>
  <c r="AE56" i="10" s="1"/>
  <c r="AF56" i="10" s="1"/>
  <c r="AG56" i="10" s="1"/>
  <c r="AH56" i="10" s="1"/>
  <c r="AI56" i="10" s="1"/>
  <c r="AJ56" i="10" s="1"/>
  <c r="AK56" i="10" s="1"/>
  <c r="AL56" i="10" s="1"/>
  <c r="E4" i="10"/>
  <c r="C20" i="9"/>
  <c r="AP15" i="9"/>
  <c r="AK15" i="9"/>
  <c r="AG15" i="9"/>
  <c r="Y15" i="9"/>
  <c r="U15" i="9"/>
  <c r="Q15" i="9"/>
  <c r="I15" i="9"/>
  <c r="E15" i="9"/>
  <c r="C5" i="9"/>
  <c r="D5" i="9" s="1"/>
  <c r="E5" i="9" s="1"/>
  <c r="F5" i="9" s="1"/>
  <c r="G5" i="9" s="1"/>
  <c r="H5" i="9" s="1"/>
  <c r="I5" i="9" s="1"/>
  <c r="J5" i="9" s="1"/>
  <c r="K5" i="9" s="1"/>
  <c r="L5" i="9" s="1"/>
  <c r="M5" i="9" s="1"/>
  <c r="N5" i="9" s="1"/>
  <c r="O5" i="9" s="1"/>
  <c r="P5" i="9" s="1"/>
  <c r="Q5" i="9" s="1"/>
  <c r="R5" i="9" s="1"/>
  <c r="S5" i="9" s="1"/>
  <c r="T5" i="9" s="1"/>
  <c r="U5" i="9" s="1"/>
  <c r="V5" i="9" s="1"/>
  <c r="W5" i="9" s="1"/>
  <c r="X5" i="9" s="1"/>
  <c r="Y5" i="9" s="1"/>
  <c r="Z5" i="9" s="1"/>
  <c r="AA5" i="9" s="1"/>
  <c r="AB5" i="9" s="1"/>
  <c r="AC5" i="9" s="1"/>
  <c r="AD5" i="9" s="1"/>
  <c r="AE5" i="9" s="1"/>
  <c r="AF5" i="9" s="1"/>
  <c r="AG5" i="9" s="1"/>
  <c r="AH5" i="9" s="1"/>
  <c r="AI5" i="9" s="1"/>
  <c r="AJ5" i="9" s="1"/>
  <c r="AK5" i="9" s="1"/>
  <c r="AL5" i="9" s="1"/>
  <c r="C5" i="8"/>
  <c r="D5" i="8" s="1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AL36" i="7"/>
  <c r="AL15" i="9" s="1"/>
  <c r="AK36" i="7"/>
  <c r="AJ36" i="7"/>
  <c r="AJ15" i="9" s="1"/>
  <c r="AI36" i="7"/>
  <c r="AI15" i="9" s="1"/>
  <c r="AH36" i="7"/>
  <c r="AH15" i="9" s="1"/>
  <c r="AG36" i="7"/>
  <c r="AF36" i="7"/>
  <c r="AF15" i="9" s="1"/>
  <c r="AE36" i="7"/>
  <c r="AE15" i="9" s="1"/>
  <c r="AD36" i="7"/>
  <c r="AD15" i="9" s="1"/>
  <c r="AC36" i="7"/>
  <c r="AC15" i="9" s="1"/>
  <c r="AB36" i="7"/>
  <c r="AB15" i="9" s="1"/>
  <c r="AA36" i="7"/>
  <c r="AA15" i="9" s="1"/>
  <c r="Z36" i="7"/>
  <c r="Z15" i="9" s="1"/>
  <c r="Y36" i="7"/>
  <c r="X36" i="7"/>
  <c r="X15" i="9" s="1"/>
  <c r="W36" i="7"/>
  <c r="W15" i="9" s="1"/>
  <c r="V36" i="7"/>
  <c r="V15" i="9" s="1"/>
  <c r="U36" i="7"/>
  <c r="T36" i="7"/>
  <c r="T15" i="9" s="1"/>
  <c r="S36" i="7"/>
  <c r="S15" i="9" s="1"/>
  <c r="R36" i="7"/>
  <c r="R15" i="9" s="1"/>
  <c r="Q36" i="7"/>
  <c r="P36" i="7"/>
  <c r="P15" i="9" s="1"/>
  <c r="O36" i="7"/>
  <c r="O15" i="9" s="1"/>
  <c r="AO15" i="9" s="1"/>
  <c r="N36" i="7"/>
  <c r="N15" i="9" s="1"/>
  <c r="M36" i="7"/>
  <c r="M15" i="9" s="1"/>
  <c r="L36" i="7"/>
  <c r="L15" i="9" s="1"/>
  <c r="K36" i="7"/>
  <c r="K15" i="9" s="1"/>
  <c r="J36" i="7"/>
  <c r="J15" i="9" s="1"/>
  <c r="I36" i="7"/>
  <c r="H36" i="7"/>
  <c r="H15" i="9" s="1"/>
  <c r="G36" i="7"/>
  <c r="F36" i="7"/>
  <c r="F15" i="9" s="1"/>
  <c r="E36" i="7"/>
  <c r="D36" i="7"/>
  <c r="D15" i="9" s="1"/>
  <c r="C36" i="7"/>
  <c r="D5" i="7"/>
  <c r="C5" i="7"/>
  <c r="C28" i="7" s="1"/>
  <c r="D12" i="6"/>
  <c r="C5" i="6"/>
  <c r="D5" i="6" s="1"/>
  <c r="C27" i="5"/>
  <c r="C25" i="5"/>
  <c r="AJ22" i="5"/>
  <c r="AI22" i="5"/>
  <c r="X22" i="5"/>
  <c r="W22" i="5"/>
  <c r="K22" i="5"/>
  <c r="J22" i="5"/>
  <c r="C21" i="5"/>
  <c r="C23" i="5" s="1"/>
  <c r="C16" i="5"/>
  <c r="C14" i="5"/>
  <c r="C12" i="5"/>
  <c r="D12" i="5" s="1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C10" i="5"/>
  <c r="AJ9" i="5"/>
  <c r="AJ66" i="10" s="1"/>
  <c r="AI9" i="5"/>
  <c r="AI66" i="10" s="1"/>
  <c r="AA9" i="5"/>
  <c r="Z9" i="5"/>
  <c r="R9" i="5"/>
  <c r="P9" i="5"/>
  <c r="H9" i="5"/>
  <c r="G9" i="5"/>
  <c r="C8" i="5"/>
  <c r="D5" i="5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AF5" i="5" s="1"/>
  <c r="AG5" i="5" s="1"/>
  <c r="AH5" i="5" s="1"/>
  <c r="AI5" i="5" s="1"/>
  <c r="AJ5" i="5" s="1"/>
  <c r="AK5" i="5" s="1"/>
  <c r="AL5" i="5" s="1"/>
  <c r="C5" i="5"/>
  <c r="F19" i="4"/>
  <c r="F18" i="4"/>
  <c r="F17" i="4"/>
  <c r="F16" i="4"/>
  <c r="D25" i="5" s="1"/>
  <c r="E25" i="5" s="1"/>
  <c r="F25" i="5" s="1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F15" i="4"/>
  <c r="C29" i="5" s="1"/>
  <c r="F14" i="4"/>
  <c r="F13" i="4"/>
  <c r="F12" i="4"/>
  <c r="C17" i="5" s="1"/>
  <c r="F11" i="4"/>
  <c r="AA22" i="5" s="1"/>
  <c r="F10" i="4"/>
  <c r="AD9" i="5" s="1"/>
  <c r="C29" i="3"/>
  <c r="E63" i="2"/>
  <c r="D63" i="2"/>
  <c r="D46" i="2"/>
  <c r="D45" i="2"/>
  <c r="D37" i="1"/>
  <c r="D36" i="1"/>
  <c r="D34" i="1"/>
  <c r="K28" i="5" l="1"/>
  <c r="W28" i="5"/>
  <c r="AI28" i="5"/>
  <c r="AJ28" i="5"/>
  <c r="AD66" i="10"/>
  <c r="AD15" i="5"/>
  <c r="C43" i="5"/>
  <c r="C70" i="10"/>
  <c r="X28" i="5"/>
  <c r="AA28" i="5"/>
  <c r="Z66" i="10"/>
  <c r="AA66" i="10"/>
  <c r="C12" i="6"/>
  <c r="C20" i="6" s="1"/>
  <c r="C8" i="6"/>
  <c r="C16" i="6" s="1"/>
  <c r="C10" i="6"/>
  <c r="C18" i="6" s="1"/>
  <c r="C13" i="6"/>
  <c r="C21" i="6" s="1"/>
  <c r="C9" i="6"/>
  <c r="C17" i="6" s="1"/>
  <c r="J9" i="5"/>
  <c r="S9" i="5"/>
  <c r="AB9" i="5"/>
  <c r="AK9" i="5"/>
  <c r="C65" i="10"/>
  <c r="C41" i="5"/>
  <c r="L22" i="5"/>
  <c r="L28" i="5" s="1"/>
  <c r="Z22" i="5"/>
  <c r="Z28" i="5" s="1"/>
  <c r="J28" i="5"/>
  <c r="T9" i="5"/>
  <c r="AL9" i="5"/>
  <c r="O22" i="5"/>
  <c r="O28" i="5" s="1"/>
  <c r="P66" i="10"/>
  <c r="AG22" i="5"/>
  <c r="AG28" i="5" s="1"/>
  <c r="Y22" i="5"/>
  <c r="Y28" i="5" s="1"/>
  <c r="Q22" i="5"/>
  <c r="Q28" i="5" s="1"/>
  <c r="I22" i="5"/>
  <c r="I28" i="5" s="1"/>
  <c r="AL22" i="5"/>
  <c r="AL28" i="5" s="1"/>
  <c r="AD22" i="5"/>
  <c r="AD28" i="5" s="1"/>
  <c r="V22" i="5"/>
  <c r="V28" i="5" s="1"/>
  <c r="N22" i="5"/>
  <c r="N28" i="5" s="1"/>
  <c r="F22" i="5"/>
  <c r="F28" i="5" s="1"/>
  <c r="AK22" i="5"/>
  <c r="AK28" i="5" s="1"/>
  <c r="AC22" i="5"/>
  <c r="AC28" i="5" s="1"/>
  <c r="U22" i="5"/>
  <c r="U28" i="5" s="1"/>
  <c r="M22" i="5"/>
  <c r="M28" i="5" s="1"/>
  <c r="E22" i="5"/>
  <c r="E28" i="5" s="1"/>
  <c r="C9" i="5"/>
  <c r="U9" i="5"/>
  <c r="C22" i="5"/>
  <c r="AG9" i="5"/>
  <c r="Y9" i="5"/>
  <c r="Q9" i="5"/>
  <c r="I9" i="5"/>
  <c r="K9" i="5"/>
  <c r="AC9" i="5"/>
  <c r="C25" i="6"/>
  <c r="D25" i="6"/>
  <c r="L9" i="5"/>
  <c r="P22" i="5"/>
  <c r="P28" i="5" s="1"/>
  <c r="AB22" i="5"/>
  <c r="AB28" i="5" s="1"/>
  <c r="D9" i="5"/>
  <c r="M9" i="5"/>
  <c r="V9" i="5"/>
  <c r="AE9" i="5"/>
  <c r="G15" i="5"/>
  <c r="P15" i="5"/>
  <c r="D22" i="5"/>
  <c r="D28" i="5" s="1"/>
  <c r="R22" i="5"/>
  <c r="R28" i="5" s="1"/>
  <c r="AE22" i="5"/>
  <c r="AE28" i="5" s="1"/>
  <c r="C30" i="5"/>
  <c r="C44" i="5" s="1"/>
  <c r="E9" i="5"/>
  <c r="N9" i="5"/>
  <c r="W9" i="5"/>
  <c r="AF9" i="5"/>
  <c r="H15" i="5"/>
  <c r="Z15" i="5"/>
  <c r="AI15" i="5"/>
  <c r="G22" i="5"/>
  <c r="G28" i="5" s="1"/>
  <c r="S22" i="5"/>
  <c r="S28" i="5" s="1"/>
  <c r="AF22" i="5"/>
  <c r="AF28" i="5" s="1"/>
  <c r="D8" i="6"/>
  <c r="F9" i="5"/>
  <c r="O9" i="5"/>
  <c r="X9" i="5"/>
  <c r="AH9" i="5"/>
  <c r="R15" i="5"/>
  <c r="AA15" i="5"/>
  <c r="AJ15" i="5"/>
  <c r="H22" i="5"/>
  <c r="H28" i="5" s="1"/>
  <c r="T22" i="5"/>
  <c r="T28" i="5" s="1"/>
  <c r="AH22" i="5"/>
  <c r="AH28" i="5" s="1"/>
  <c r="D10" i="6"/>
  <c r="D28" i="7"/>
  <c r="E5" i="7"/>
  <c r="E14" i="7" s="1"/>
  <c r="D14" i="7"/>
  <c r="C14" i="7"/>
  <c r="E5" i="6"/>
  <c r="D13" i="6"/>
  <c r="D11" i="6"/>
  <c r="D9" i="6"/>
  <c r="C11" i="6"/>
  <c r="C19" i="6" s="1"/>
  <c r="G15" i="9"/>
  <c r="AJ37" i="7"/>
  <c r="AJ19" i="8" s="1"/>
  <c r="AJ9" i="9" s="1"/>
  <c r="S37" i="7"/>
  <c r="S19" i="8" s="1"/>
  <c r="S9" i="9" s="1"/>
  <c r="O37" i="7"/>
  <c r="O19" i="8" s="1"/>
  <c r="AE37" i="7"/>
  <c r="AE19" i="8" s="1"/>
  <c r="AE9" i="9" s="1"/>
  <c r="T37" i="7"/>
  <c r="T19" i="8" s="1"/>
  <c r="T9" i="9" s="1"/>
  <c r="C37" i="7"/>
  <c r="C19" i="8" s="1"/>
  <c r="W37" i="7"/>
  <c r="W19" i="8" s="1"/>
  <c r="W9" i="9" s="1"/>
  <c r="D37" i="7"/>
  <c r="D19" i="8" s="1"/>
  <c r="D9" i="9" s="1"/>
  <c r="AA37" i="7"/>
  <c r="AA19" i="8" s="1"/>
  <c r="G37" i="7"/>
  <c r="G19" i="8" s="1"/>
  <c r="G9" i="9" s="1"/>
  <c r="AB37" i="7"/>
  <c r="AB19" i="8" s="1"/>
  <c r="AB9" i="9" s="1"/>
  <c r="K37" i="7"/>
  <c r="K19" i="8" s="1"/>
  <c r="K9" i="9" s="1"/>
  <c r="C15" i="9"/>
  <c r="AN15" i="9" s="1"/>
  <c r="AH37" i="7"/>
  <c r="AH19" i="8" s="1"/>
  <c r="AH9" i="9" s="1"/>
  <c r="Z37" i="7"/>
  <c r="Z19" i="8" s="1"/>
  <c r="Z9" i="9" s="1"/>
  <c r="R37" i="7"/>
  <c r="R19" i="8" s="1"/>
  <c r="R9" i="9" s="1"/>
  <c r="J37" i="7"/>
  <c r="J19" i="8" s="1"/>
  <c r="J9" i="9" s="1"/>
  <c r="AG37" i="7"/>
  <c r="AG19" i="8" s="1"/>
  <c r="AG9" i="9" s="1"/>
  <c r="Y37" i="7"/>
  <c r="Y19" i="8" s="1"/>
  <c r="Y9" i="9" s="1"/>
  <c r="Q37" i="7"/>
  <c r="Q19" i="8" s="1"/>
  <c r="Q9" i="9" s="1"/>
  <c r="I37" i="7"/>
  <c r="I19" i="8" s="1"/>
  <c r="I9" i="9" s="1"/>
  <c r="AF37" i="7"/>
  <c r="AF19" i="8" s="1"/>
  <c r="AF9" i="9" s="1"/>
  <c r="X37" i="7"/>
  <c r="X19" i="8" s="1"/>
  <c r="X9" i="9" s="1"/>
  <c r="P37" i="7"/>
  <c r="P19" i="8" s="1"/>
  <c r="P9" i="9" s="1"/>
  <c r="H37" i="7"/>
  <c r="H19" i="8" s="1"/>
  <c r="H9" i="9" s="1"/>
  <c r="AL37" i="7"/>
  <c r="AL19" i="8" s="1"/>
  <c r="AL9" i="9" s="1"/>
  <c r="AD37" i="7"/>
  <c r="AD19" i="8" s="1"/>
  <c r="AD9" i="9" s="1"/>
  <c r="V37" i="7"/>
  <c r="V19" i="8" s="1"/>
  <c r="V9" i="9" s="1"/>
  <c r="N37" i="7"/>
  <c r="N19" i="8" s="1"/>
  <c r="N9" i="9" s="1"/>
  <c r="F37" i="7"/>
  <c r="F19" i="8" s="1"/>
  <c r="F9" i="9" s="1"/>
  <c r="AK37" i="7"/>
  <c r="AK19" i="8" s="1"/>
  <c r="AK9" i="9" s="1"/>
  <c r="AC37" i="7"/>
  <c r="AC19" i="8" s="1"/>
  <c r="AC9" i="9" s="1"/>
  <c r="U37" i="7"/>
  <c r="U19" i="8" s="1"/>
  <c r="U9" i="9" s="1"/>
  <c r="M37" i="7"/>
  <c r="M19" i="8" s="1"/>
  <c r="M9" i="9" s="1"/>
  <c r="E37" i="7"/>
  <c r="E19" i="8" s="1"/>
  <c r="E9" i="9" s="1"/>
  <c r="L37" i="7"/>
  <c r="L19" i="8" s="1"/>
  <c r="L9" i="9" s="1"/>
  <c r="AI37" i="7"/>
  <c r="AI19" i="8" s="1"/>
  <c r="AI9" i="9" s="1"/>
  <c r="O9" i="9" l="1"/>
  <c r="AO9" i="9" s="1"/>
  <c r="AO19" i="8"/>
  <c r="O66" i="10"/>
  <c r="O15" i="5"/>
  <c r="H42" i="5"/>
  <c r="AG66" i="10"/>
  <c r="AG15" i="5"/>
  <c r="J66" i="10"/>
  <c r="J15" i="5"/>
  <c r="H66" i="10"/>
  <c r="X66" i="10"/>
  <c r="X15" i="5"/>
  <c r="Z42" i="5"/>
  <c r="Y66" i="10"/>
  <c r="Y15" i="5"/>
  <c r="S66" i="10"/>
  <c r="S15" i="5"/>
  <c r="AA9" i="9"/>
  <c r="AP9" i="9" s="1"/>
  <c r="AP19" i="8"/>
  <c r="F5" i="6"/>
  <c r="E13" i="6"/>
  <c r="E11" i="6"/>
  <c r="E9" i="6"/>
  <c r="E10" i="6"/>
  <c r="E12" i="6"/>
  <c r="E8" i="6"/>
  <c r="F66" i="10"/>
  <c r="F15" i="5"/>
  <c r="AF66" i="10"/>
  <c r="AF15" i="5"/>
  <c r="P42" i="5"/>
  <c r="L66" i="10"/>
  <c r="L15" i="5"/>
  <c r="R66" i="10"/>
  <c r="C81" i="10"/>
  <c r="C29" i="6"/>
  <c r="D17" i="6"/>
  <c r="G66" i="10"/>
  <c r="AD42" i="5"/>
  <c r="W66" i="10"/>
  <c r="W15" i="5"/>
  <c r="AJ42" i="5"/>
  <c r="N66" i="10"/>
  <c r="N15" i="5"/>
  <c r="AE66" i="10"/>
  <c r="AE15" i="5"/>
  <c r="AC66" i="10"/>
  <c r="AC15" i="5"/>
  <c r="U66" i="10"/>
  <c r="U15" i="5"/>
  <c r="C64" i="10"/>
  <c r="C82" i="10"/>
  <c r="C30" i="6"/>
  <c r="C16" i="7"/>
  <c r="D18" i="6"/>
  <c r="G42" i="5"/>
  <c r="C85" i="10"/>
  <c r="C29" i="7"/>
  <c r="C33" i="6"/>
  <c r="C26" i="7" s="1"/>
  <c r="D21" i="6"/>
  <c r="C9" i="9"/>
  <c r="AN9" i="9" s="1"/>
  <c r="AN19" i="8"/>
  <c r="E28" i="7"/>
  <c r="F5" i="7"/>
  <c r="AA42" i="5"/>
  <c r="E66" i="10"/>
  <c r="E15" i="5"/>
  <c r="V66" i="10"/>
  <c r="V15" i="5"/>
  <c r="K66" i="10"/>
  <c r="K15" i="5"/>
  <c r="C66" i="10"/>
  <c r="C11" i="5"/>
  <c r="D8" i="5" s="1"/>
  <c r="C15" i="5"/>
  <c r="C80" i="10"/>
  <c r="C21" i="7"/>
  <c r="C28" i="6"/>
  <c r="C22" i="6"/>
  <c r="C27" i="7" s="1"/>
  <c r="D16" i="6"/>
  <c r="C28" i="5"/>
  <c r="C31" i="5" s="1"/>
  <c r="C24" i="5"/>
  <c r="D21" i="5" s="1"/>
  <c r="C83" i="10"/>
  <c r="C31" i="6"/>
  <c r="D19" i="6"/>
  <c r="R42" i="5"/>
  <c r="M66" i="10"/>
  <c r="M15" i="5"/>
  <c r="I66" i="10"/>
  <c r="I15" i="5"/>
  <c r="AL66" i="10"/>
  <c r="AL15" i="5"/>
  <c r="AK66" i="10"/>
  <c r="AK15" i="5"/>
  <c r="C84" i="10"/>
  <c r="D20" i="6"/>
  <c r="C32" i="6"/>
  <c r="C9" i="7" s="1"/>
  <c r="C91" i="10"/>
  <c r="D90" i="10"/>
  <c r="E25" i="6"/>
  <c r="AH66" i="10"/>
  <c r="AH15" i="5"/>
  <c r="AI42" i="5"/>
  <c r="D66" i="10"/>
  <c r="D15" i="5"/>
  <c r="Q66" i="10"/>
  <c r="Q15" i="5"/>
  <c r="T66" i="10"/>
  <c r="T15" i="5"/>
  <c r="AB66" i="10"/>
  <c r="AB15" i="5"/>
  <c r="K42" i="5" l="1"/>
  <c r="F13" i="6"/>
  <c r="F11" i="6"/>
  <c r="F9" i="6"/>
  <c r="F12" i="6"/>
  <c r="F10" i="6"/>
  <c r="F8" i="6"/>
  <c r="G5" i="6"/>
  <c r="F25" i="6"/>
  <c r="Q42" i="5"/>
  <c r="AK42" i="5"/>
  <c r="AC42" i="5"/>
  <c r="W42" i="5"/>
  <c r="X42" i="5"/>
  <c r="F28" i="7"/>
  <c r="G5" i="7"/>
  <c r="F14" i="7"/>
  <c r="F42" i="5"/>
  <c r="C20" i="7"/>
  <c r="C34" i="6"/>
  <c r="V42" i="5"/>
  <c r="D82" i="10"/>
  <c r="E18" i="6"/>
  <c r="D16" i="7"/>
  <c r="D30" i="6"/>
  <c r="L42" i="5"/>
  <c r="D42" i="5"/>
  <c r="AE42" i="5"/>
  <c r="S42" i="5"/>
  <c r="E42" i="5"/>
  <c r="D85" i="10"/>
  <c r="D29" i="7"/>
  <c r="D33" i="6"/>
  <c r="D26" i="7" s="1"/>
  <c r="E21" i="6"/>
  <c r="C13" i="7"/>
  <c r="AL42" i="5"/>
  <c r="D83" i="10"/>
  <c r="D31" i="6"/>
  <c r="E19" i="6"/>
  <c r="O42" i="5"/>
  <c r="AB42" i="5"/>
  <c r="I42" i="5"/>
  <c r="C42" i="5"/>
  <c r="C18" i="5"/>
  <c r="C49" i="5"/>
  <c r="C30" i="7"/>
  <c r="C31" i="7" s="1"/>
  <c r="C14" i="8" s="1"/>
  <c r="N42" i="5"/>
  <c r="Y42" i="5"/>
  <c r="J42" i="5"/>
  <c r="D23" i="5"/>
  <c r="D24" i="5"/>
  <c r="E21" i="5" s="1"/>
  <c r="D10" i="5"/>
  <c r="D11" i="5" s="1"/>
  <c r="E8" i="5" s="1"/>
  <c r="D81" i="10"/>
  <c r="D29" i="6"/>
  <c r="E17" i="6"/>
  <c r="AF42" i="5"/>
  <c r="D80" i="10"/>
  <c r="D21" i="7"/>
  <c r="D28" i="6"/>
  <c r="E16" i="6"/>
  <c r="D22" i="6"/>
  <c r="D27" i="7" s="1"/>
  <c r="T42" i="5"/>
  <c r="AH42" i="5"/>
  <c r="D84" i="10"/>
  <c r="E20" i="6"/>
  <c r="D32" i="6"/>
  <c r="D9" i="7" s="1"/>
  <c r="M42" i="5"/>
  <c r="C38" i="5"/>
  <c r="C48" i="5"/>
  <c r="C50" i="5" s="1"/>
  <c r="D27" i="5"/>
  <c r="U42" i="5"/>
  <c r="AG42" i="5"/>
  <c r="E10" i="5" l="1"/>
  <c r="E11" i="5"/>
  <c r="F8" i="5" s="1"/>
  <c r="D30" i="5"/>
  <c r="D29" i="5"/>
  <c r="D31" i="5" s="1"/>
  <c r="E23" i="5"/>
  <c r="E24" i="5"/>
  <c r="F21" i="5" s="1"/>
  <c r="E85" i="10"/>
  <c r="E29" i="7"/>
  <c r="E33" i="6"/>
  <c r="E26" i="7" s="1"/>
  <c r="F21" i="6"/>
  <c r="E82" i="10"/>
  <c r="E16" i="7"/>
  <c r="E30" i="6"/>
  <c r="F18" i="6"/>
  <c r="D30" i="7"/>
  <c r="D31" i="7" s="1"/>
  <c r="D14" i="8" s="1"/>
  <c r="G28" i="7"/>
  <c r="H5" i="7"/>
  <c r="G14" i="7"/>
  <c r="D92" i="10"/>
  <c r="E90" i="10"/>
  <c r="C45" i="5"/>
  <c r="C58" i="10" s="1"/>
  <c r="C15" i="7"/>
  <c r="C17" i="7" s="1"/>
  <c r="E83" i="10"/>
  <c r="E31" i="6"/>
  <c r="F19" i="6"/>
  <c r="E84" i="10"/>
  <c r="E32" i="6"/>
  <c r="E9" i="7" s="1"/>
  <c r="F20" i="6"/>
  <c r="D20" i="7"/>
  <c r="D34" i="6"/>
  <c r="C22" i="7"/>
  <c r="C23" i="7" s="1"/>
  <c r="C13" i="8" s="1"/>
  <c r="E81" i="10"/>
  <c r="F17" i="6"/>
  <c r="E29" i="6"/>
  <c r="C69" i="10"/>
  <c r="C37" i="5"/>
  <c r="D14" i="5"/>
  <c r="C34" i="5"/>
  <c r="E80" i="10"/>
  <c r="E21" i="7"/>
  <c r="E28" i="6"/>
  <c r="E22" i="6"/>
  <c r="E27" i="7" s="1"/>
  <c r="F16" i="6"/>
  <c r="D13" i="7"/>
  <c r="G11" i="6"/>
  <c r="G10" i="6"/>
  <c r="G13" i="6"/>
  <c r="G9" i="6"/>
  <c r="G12" i="6"/>
  <c r="G8" i="6"/>
  <c r="H5" i="6"/>
  <c r="G25" i="6"/>
  <c r="E27" i="5" l="1"/>
  <c r="D48" i="5"/>
  <c r="D38" i="5"/>
  <c r="C33" i="7"/>
  <c r="C12" i="8"/>
  <c r="E13" i="7"/>
  <c r="C36" i="5"/>
  <c r="C35" i="5"/>
  <c r="C57" i="10" s="1"/>
  <c r="F83" i="10"/>
  <c r="F31" i="6"/>
  <c r="G19" i="6"/>
  <c r="F82" i="10"/>
  <c r="G18" i="6"/>
  <c r="F16" i="7"/>
  <c r="F30" i="6"/>
  <c r="D15" i="7"/>
  <c r="D17" i="7" s="1"/>
  <c r="D22" i="7"/>
  <c r="D23" i="7" s="1"/>
  <c r="D13" i="8" s="1"/>
  <c r="H28" i="7"/>
  <c r="I5" i="7"/>
  <c r="H14" i="7"/>
  <c r="F85" i="10"/>
  <c r="F29" i="7"/>
  <c r="F33" i="6"/>
  <c r="F26" i="7" s="1"/>
  <c r="G21" i="6"/>
  <c r="D17" i="5"/>
  <c r="D41" i="5"/>
  <c r="D16" i="5"/>
  <c r="D43" i="5" s="1"/>
  <c r="H12" i="6"/>
  <c r="H10" i="6"/>
  <c r="H8" i="6"/>
  <c r="I5" i="6"/>
  <c r="H13" i="6"/>
  <c r="H11" i="6"/>
  <c r="H9" i="6"/>
  <c r="H25" i="6"/>
  <c r="F80" i="10"/>
  <c r="F21" i="7"/>
  <c r="G16" i="6"/>
  <c r="F22" i="6"/>
  <c r="F27" i="7" s="1"/>
  <c r="F28" i="6"/>
  <c r="F84" i="10"/>
  <c r="G20" i="6"/>
  <c r="F32" i="6"/>
  <c r="F9" i="7" s="1"/>
  <c r="E30" i="7"/>
  <c r="E31" i="7" s="1"/>
  <c r="E14" i="8" s="1"/>
  <c r="F24" i="5"/>
  <c r="G21" i="5" s="1"/>
  <c r="F23" i="5"/>
  <c r="F10" i="5"/>
  <c r="F11" i="5" s="1"/>
  <c r="G8" i="5" s="1"/>
  <c r="E20" i="7"/>
  <c r="E34" i="6"/>
  <c r="F81" i="10"/>
  <c r="G17" i="6"/>
  <c r="F29" i="6"/>
  <c r="G10" i="5" l="1"/>
  <c r="G11" i="5" s="1"/>
  <c r="H8" i="5" s="1"/>
  <c r="D12" i="8"/>
  <c r="D33" i="7"/>
  <c r="D70" i="10"/>
  <c r="D44" i="5"/>
  <c r="C67" i="10"/>
  <c r="C15" i="8"/>
  <c r="D65" i="10"/>
  <c r="D64" i="10"/>
  <c r="G83" i="10"/>
  <c r="H19" i="6"/>
  <c r="G31" i="6"/>
  <c r="G23" i="5"/>
  <c r="G24" i="5"/>
  <c r="H21" i="5" s="1"/>
  <c r="G85" i="10"/>
  <c r="G33" i="6"/>
  <c r="G26" i="7" s="1"/>
  <c r="H21" i="6"/>
  <c r="G29" i="7"/>
  <c r="D50" i="5"/>
  <c r="G84" i="10"/>
  <c r="H20" i="6"/>
  <c r="G32" i="6"/>
  <c r="G9" i="7" s="1"/>
  <c r="D49" i="5"/>
  <c r="F31" i="7"/>
  <c r="F14" i="8" s="1"/>
  <c r="F30" i="7"/>
  <c r="E30" i="5"/>
  <c r="E31" i="5"/>
  <c r="E29" i="5"/>
  <c r="G81" i="10"/>
  <c r="H17" i="6"/>
  <c r="G29" i="6"/>
  <c r="I12" i="6"/>
  <c r="I10" i="6"/>
  <c r="I8" i="6"/>
  <c r="J5" i="6"/>
  <c r="I13" i="6"/>
  <c r="I9" i="6"/>
  <c r="I11" i="6"/>
  <c r="I25" i="6"/>
  <c r="G82" i="10"/>
  <c r="G16" i="7"/>
  <c r="H18" i="6"/>
  <c r="G30" i="6"/>
  <c r="G13" i="7" s="1"/>
  <c r="G80" i="10"/>
  <c r="G21" i="7"/>
  <c r="H16" i="6"/>
  <c r="G22" i="6"/>
  <c r="G27" i="7" s="1"/>
  <c r="G28" i="6"/>
  <c r="D18" i="5"/>
  <c r="F13" i="7"/>
  <c r="C7" i="8"/>
  <c r="C8" i="7"/>
  <c r="C10" i="7" s="1"/>
  <c r="C8" i="8" s="1"/>
  <c r="C51" i="5"/>
  <c r="C52" i="5" s="1"/>
  <c r="C10" i="9" s="1"/>
  <c r="I28" i="7"/>
  <c r="J5" i="7"/>
  <c r="I14" i="7"/>
  <c r="E22" i="7"/>
  <c r="E23" i="7" s="1"/>
  <c r="E13" i="8" s="1"/>
  <c r="F34" i="6"/>
  <c r="F20" i="7"/>
  <c r="E15" i="7"/>
  <c r="E17" i="7" s="1"/>
  <c r="E12" i="8" l="1"/>
  <c r="E33" i="7"/>
  <c r="H10" i="5"/>
  <c r="H11" i="5" s="1"/>
  <c r="I8" i="5" s="1"/>
  <c r="J12" i="6"/>
  <c r="J10" i="6"/>
  <c r="J8" i="6"/>
  <c r="J13" i="6"/>
  <c r="J11" i="6"/>
  <c r="J9" i="6"/>
  <c r="K5" i="6"/>
  <c r="J25" i="6"/>
  <c r="H82" i="10"/>
  <c r="H16" i="7"/>
  <c r="I18" i="6"/>
  <c r="H30" i="6"/>
  <c r="D69" i="10"/>
  <c r="E14" i="5"/>
  <c r="D34" i="5"/>
  <c r="D37" i="5"/>
  <c r="H85" i="10"/>
  <c r="I21" i="6"/>
  <c r="H33" i="6"/>
  <c r="H26" i="7" s="1"/>
  <c r="H29" i="7"/>
  <c r="G20" i="7"/>
  <c r="G34" i="6"/>
  <c r="D45" i="5"/>
  <c r="D58" i="10" s="1"/>
  <c r="H80" i="10"/>
  <c r="I16" i="6"/>
  <c r="H21" i="7"/>
  <c r="H22" i="6"/>
  <c r="H27" i="7" s="1"/>
  <c r="H28" i="6"/>
  <c r="H81" i="10"/>
  <c r="I17" i="6"/>
  <c r="H29" i="6"/>
  <c r="H23" i="5"/>
  <c r="H24" i="5" s="1"/>
  <c r="I21" i="5" s="1"/>
  <c r="D67" i="10"/>
  <c r="D15" i="8"/>
  <c r="F17" i="7"/>
  <c r="F15" i="7"/>
  <c r="H83" i="10"/>
  <c r="I19" i="6"/>
  <c r="H31" i="6"/>
  <c r="J28" i="7"/>
  <c r="K5" i="7"/>
  <c r="J14" i="7"/>
  <c r="G31" i="7"/>
  <c r="G14" i="8" s="1"/>
  <c r="G30" i="7"/>
  <c r="F22" i="7"/>
  <c r="F23" i="7" s="1"/>
  <c r="F13" i="8" s="1"/>
  <c r="H84" i="10"/>
  <c r="I20" i="6"/>
  <c r="H32" i="6"/>
  <c r="H9" i="7" s="1"/>
  <c r="G15" i="7"/>
  <c r="G17" i="7"/>
  <c r="E38" i="5"/>
  <c r="F27" i="5"/>
  <c r="E48" i="5"/>
  <c r="C59" i="10"/>
  <c r="C9" i="8"/>
  <c r="C68" i="10"/>
  <c r="D68" i="10"/>
  <c r="I23" i="5" l="1"/>
  <c r="I24" i="5" s="1"/>
  <c r="J21" i="5" s="1"/>
  <c r="I10" i="5"/>
  <c r="I11" i="5" s="1"/>
  <c r="J8" i="5" s="1"/>
  <c r="I83" i="10"/>
  <c r="I31" i="6"/>
  <c r="J19" i="6"/>
  <c r="I82" i="10"/>
  <c r="I16" i="7"/>
  <c r="I30" i="6"/>
  <c r="J18" i="6"/>
  <c r="I85" i="10"/>
  <c r="I29" i="7"/>
  <c r="I33" i="6"/>
  <c r="I26" i="7" s="1"/>
  <c r="J21" i="6"/>
  <c r="I81" i="10"/>
  <c r="I29" i="6"/>
  <c r="J17" i="6"/>
  <c r="C10" i="8"/>
  <c r="C61" i="10" s="1"/>
  <c r="C71" i="10" s="1"/>
  <c r="C72" i="10" s="1"/>
  <c r="C17" i="8"/>
  <c r="H20" i="7"/>
  <c r="H34" i="6"/>
  <c r="D36" i="5"/>
  <c r="D35" i="5"/>
  <c r="D57" i="10" s="1"/>
  <c r="L5" i="6"/>
  <c r="K10" i="6"/>
  <c r="K13" i="6"/>
  <c r="K9" i="6"/>
  <c r="K12" i="6"/>
  <c r="K8" i="6"/>
  <c r="K11" i="6"/>
  <c r="K25" i="6"/>
  <c r="F12" i="8"/>
  <c r="F33" i="7"/>
  <c r="I84" i="10"/>
  <c r="J20" i="6"/>
  <c r="I32" i="6"/>
  <c r="I9" i="7" s="1"/>
  <c r="E41" i="5"/>
  <c r="E17" i="5"/>
  <c r="E65" i="10" s="1"/>
  <c r="E16" i="5"/>
  <c r="E43" i="5" s="1"/>
  <c r="L5" i="7"/>
  <c r="K28" i="7"/>
  <c r="K14" i="7"/>
  <c r="G22" i="7"/>
  <c r="G23" i="7"/>
  <c r="G13" i="8" s="1"/>
  <c r="H30" i="7"/>
  <c r="H31" i="7"/>
  <c r="H14" i="8" s="1"/>
  <c r="G33" i="7"/>
  <c r="G12" i="8"/>
  <c r="F30" i="5"/>
  <c r="F31" i="5"/>
  <c r="F29" i="5"/>
  <c r="I80" i="10"/>
  <c r="I21" i="7"/>
  <c r="J16" i="6"/>
  <c r="I22" i="6"/>
  <c r="I27" i="7" s="1"/>
  <c r="I28" i="6"/>
  <c r="H13" i="7"/>
  <c r="E67" i="10"/>
  <c r="E15" i="8"/>
  <c r="J10" i="5" l="1"/>
  <c r="J11" i="5" s="1"/>
  <c r="K8" i="5" s="1"/>
  <c r="J23" i="5"/>
  <c r="J24" i="5"/>
  <c r="K21" i="5" s="1"/>
  <c r="J83" i="10"/>
  <c r="K19" i="6"/>
  <c r="J31" i="6"/>
  <c r="J80" i="10"/>
  <c r="J21" i="7"/>
  <c r="J22" i="6"/>
  <c r="J27" i="7" s="1"/>
  <c r="J28" i="6"/>
  <c r="K16" i="6"/>
  <c r="G67" i="10"/>
  <c r="G15" i="8"/>
  <c r="E45" i="5"/>
  <c r="E58" i="10" s="1"/>
  <c r="L28" i="7"/>
  <c r="M5" i="7"/>
  <c r="L14" i="7"/>
  <c r="E64" i="10"/>
  <c r="F67" i="10"/>
  <c r="F15" i="8"/>
  <c r="M5" i="6"/>
  <c r="L13" i="6"/>
  <c r="L11" i="6"/>
  <c r="L9" i="6"/>
  <c r="L8" i="6"/>
  <c r="L12" i="6"/>
  <c r="L10" i="6"/>
  <c r="L25" i="6"/>
  <c r="J81" i="10"/>
  <c r="J29" i="6"/>
  <c r="K17" i="6"/>
  <c r="J82" i="10"/>
  <c r="J16" i="7"/>
  <c r="J30" i="6"/>
  <c r="K18" i="6"/>
  <c r="C63" i="10"/>
  <c r="C18" i="8"/>
  <c r="C62" i="10" s="1"/>
  <c r="C75" i="10" s="1"/>
  <c r="C20" i="8"/>
  <c r="D7" i="8"/>
  <c r="D8" i="7"/>
  <c r="D10" i="7" s="1"/>
  <c r="D8" i="8" s="1"/>
  <c r="D51" i="5"/>
  <c r="D52" i="5" s="1"/>
  <c r="D10" i="9" s="1"/>
  <c r="I13" i="7"/>
  <c r="E70" i="10"/>
  <c r="E44" i="5"/>
  <c r="F38" i="5"/>
  <c r="F48" i="5"/>
  <c r="G27" i="5"/>
  <c r="E49" i="5"/>
  <c r="E50" i="5" s="1"/>
  <c r="H15" i="7"/>
  <c r="H17" i="7"/>
  <c r="J85" i="10"/>
  <c r="J29" i="7"/>
  <c r="J33" i="6"/>
  <c r="J26" i="7" s="1"/>
  <c r="K21" i="6"/>
  <c r="I30" i="7"/>
  <c r="I31" i="7"/>
  <c r="I14" i="8" s="1"/>
  <c r="I20" i="7"/>
  <c r="I34" i="6"/>
  <c r="E68" i="10"/>
  <c r="E18" i="5"/>
  <c r="J84" i="10"/>
  <c r="J32" i="6"/>
  <c r="J9" i="7" s="1"/>
  <c r="K20" i="6"/>
  <c r="H22" i="7"/>
  <c r="H23" i="7"/>
  <c r="H13" i="8" s="1"/>
  <c r="C73" i="10"/>
  <c r="K10" i="5" l="1"/>
  <c r="K11" i="5" s="1"/>
  <c r="L8" i="5" s="1"/>
  <c r="K84" i="10"/>
  <c r="K32" i="6"/>
  <c r="K9" i="7" s="1"/>
  <c r="L20" i="6"/>
  <c r="K82" i="10"/>
  <c r="K16" i="7"/>
  <c r="K30" i="6"/>
  <c r="L18" i="6"/>
  <c r="K85" i="10"/>
  <c r="K29" i="7"/>
  <c r="L21" i="6"/>
  <c r="K33" i="6"/>
  <c r="K26" i="7" s="1"/>
  <c r="G30" i="5"/>
  <c r="G29" i="5"/>
  <c r="G31" i="5" s="1"/>
  <c r="J20" i="7"/>
  <c r="J34" i="6"/>
  <c r="I22" i="7"/>
  <c r="I23" i="7"/>
  <c r="I13" i="8" s="1"/>
  <c r="H33" i="7"/>
  <c r="H12" i="8"/>
  <c r="J13" i="7"/>
  <c r="K80" i="10"/>
  <c r="K21" i="7"/>
  <c r="K22" i="6"/>
  <c r="K27" i="7" s="1"/>
  <c r="K28" i="6"/>
  <c r="L16" i="6"/>
  <c r="E69" i="10"/>
  <c r="E34" i="5"/>
  <c r="E37" i="5"/>
  <c r="F14" i="5"/>
  <c r="D59" i="10"/>
  <c r="D9" i="8"/>
  <c r="N5" i="6"/>
  <c r="M13" i="6"/>
  <c r="M11" i="6"/>
  <c r="M9" i="6"/>
  <c r="M12" i="6"/>
  <c r="M8" i="6"/>
  <c r="M10" i="6"/>
  <c r="M25" i="6"/>
  <c r="K83" i="10"/>
  <c r="K31" i="6"/>
  <c r="L19" i="6"/>
  <c r="F68" i="10"/>
  <c r="K23" i="5"/>
  <c r="K24" i="5"/>
  <c r="L21" i="5" s="1"/>
  <c r="K81" i="10"/>
  <c r="K29" i="6"/>
  <c r="L17" i="6"/>
  <c r="M28" i="7"/>
  <c r="N5" i="7"/>
  <c r="M14" i="7"/>
  <c r="I17" i="7"/>
  <c r="I15" i="7"/>
  <c r="J30" i="7"/>
  <c r="J31" i="7"/>
  <c r="J14" i="8" s="1"/>
  <c r="G68" i="10"/>
  <c r="C22" i="8"/>
  <c r="H27" i="5" l="1"/>
  <c r="G48" i="5"/>
  <c r="G38" i="5"/>
  <c r="L10" i="5"/>
  <c r="L11" i="5"/>
  <c r="M8" i="5" s="1"/>
  <c r="H67" i="10"/>
  <c r="H15" i="8"/>
  <c r="N13" i="6"/>
  <c r="N11" i="6"/>
  <c r="N9" i="6"/>
  <c r="N12" i="6"/>
  <c r="N10" i="6"/>
  <c r="N8" i="6"/>
  <c r="O5" i="6"/>
  <c r="N25" i="6"/>
  <c r="L80" i="10"/>
  <c r="L21" i="7"/>
  <c r="L28" i="6"/>
  <c r="L22" i="6"/>
  <c r="L27" i="7" s="1"/>
  <c r="M16" i="6"/>
  <c r="K31" i="7"/>
  <c r="K14" i="8" s="1"/>
  <c r="K30" i="7"/>
  <c r="L83" i="10"/>
  <c r="L31" i="6"/>
  <c r="M19" i="6"/>
  <c r="E36" i="5"/>
  <c r="E35" i="5"/>
  <c r="E57" i="10" s="1"/>
  <c r="N28" i="7"/>
  <c r="O5" i="7"/>
  <c r="N14" i="7"/>
  <c r="L81" i="10"/>
  <c r="L29" i="6"/>
  <c r="M17" i="6"/>
  <c r="L23" i="5"/>
  <c r="L24" i="5" s="1"/>
  <c r="M21" i="5" s="1"/>
  <c r="K20" i="7"/>
  <c r="K34" i="6"/>
  <c r="L85" i="10"/>
  <c r="L29" i="7"/>
  <c r="M21" i="6"/>
  <c r="L33" i="6"/>
  <c r="L26" i="7" s="1"/>
  <c r="F18" i="5"/>
  <c r="F41" i="5"/>
  <c r="F16" i="5"/>
  <c r="F43" i="5" s="1"/>
  <c r="F17" i="5"/>
  <c r="F65" i="10" s="1"/>
  <c r="F49" i="5"/>
  <c r="F50" i="5" s="1"/>
  <c r="J22" i="7"/>
  <c r="J23" i="7" s="1"/>
  <c r="J13" i="8" s="1"/>
  <c r="L82" i="10"/>
  <c r="L16" i="7"/>
  <c r="M18" i="6"/>
  <c r="L30" i="6"/>
  <c r="L84" i="10"/>
  <c r="M20" i="6"/>
  <c r="L32" i="6"/>
  <c r="L9" i="7" s="1"/>
  <c r="D10" i="8"/>
  <c r="D61" i="10" s="1"/>
  <c r="D17" i="8"/>
  <c r="C23" i="8"/>
  <c r="I33" i="7"/>
  <c r="I12" i="8"/>
  <c r="J15" i="7"/>
  <c r="J17" i="7"/>
  <c r="K13" i="7"/>
  <c r="M23" i="5" l="1"/>
  <c r="M24" i="5" s="1"/>
  <c r="N21" i="5" s="1"/>
  <c r="K15" i="7"/>
  <c r="K17" i="7" s="1"/>
  <c r="F69" i="10"/>
  <c r="F34" i="5"/>
  <c r="F37" i="5"/>
  <c r="G14" i="5"/>
  <c r="K22" i="7"/>
  <c r="K23" i="7" s="1"/>
  <c r="K13" i="8" s="1"/>
  <c r="J33" i="7"/>
  <c r="J12" i="8"/>
  <c r="D63" i="10"/>
  <c r="D20" i="8"/>
  <c r="D18" i="8"/>
  <c r="D62" i="10" s="1"/>
  <c r="D75" i="10" s="1"/>
  <c r="D71" i="10"/>
  <c r="D72" i="10" s="1"/>
  <c r="D73" i="10"/>
  <c r="F64" i="10"/>
  <c r="O13" i="6"/>
  <c r="O9" i="6"/>
  <c r="O12" i="6"/>
  <c r="O8" i="6"/>
  <c r="O11" i="6"/>
  <c r="O10" i="6"/>
  <c r="O25" i="6"/>
  <c r="P5" i="6"/>
  <c r="I67" i="10"/>
  <c r="I15" i="8"/>
  <c r="P5" i="7"/>
  <c r="O28" i="7"/>
  <c r="O14" i="7"/>
  <c r="H68" i="10"/>
  <c r="M84" i="10"/>
  <c r="M32" i="6"/>
  <c r="M9" i="7" s="1"/>
  <c r="N20" i="6"/>
  <c r="M80" i="10"/>
  <c r="M21" i="7"/>
  <c r="M28" i="6"/>
  <c r="M22" i="6"/>
  <c r="M27" i="7" s="1"/>
  <c r="N16" i="6"/>
  <c r="F70" i="10"/>
  <c r="F44" i="5"/>
  <c r="F45" i="5" s="1"/>
  <c r="F58" i="10" s="1"/>
  <c r="L31" i="7"/>
  <c r="L14" i="8" s="1"/>
  <c r="L30" i="7"/>
  <c r="M85" i="10"/>
  <c r="M29" i="7"/>
  <c r="M33" i="6"/>
  <c r="M26" i="7" s="1"/>
  <c r="N21" i="6"/>
  <c r="M10" i="5"/>
  <c r="M11" i="5"/>
  <c r="N8" i="5" s="1"/>
  <c r="L13" i="7"/>
  <c r="E7" i="8"/>
  <c r="E8" i="7"/>
  <c r="E10" i="7" s="1"/>
  <c r="E8" i="8" s="1"/>
  <c r="E51" i="5"/>
  <c r="E52" i="5" s="1"/>
  <c r="E10" i="9" s="1"/>
  <c r="L34" i="6"/>
  <c r="L20" i="7"/>
  <c r="C24" i="8"/>
  <c r="C25" i="8" s="1"/>
  <c r="M82" i="10"/>
  <c r="M16" i="7"/>
  <c r="M30" i="6"/>
  <c r="N18" i="6"/>
  <c r="M81" i="10"/>
  <c r="M29" i="6"/>
  <c r="N17" i="6"/>
  <c r="M83" i="10"/>
  <c r="M31" i="6"/>
  <c r="N19" i="6"/>
  <c r="H29" i="5"/>
  <c r="H30" i="5"/>
  <c r="H31" i="5" s="1"/>
  <c r="I27" i="5" l="1"/>
  <c r="H38" i="5"/>
  <c r="H48" i="5"/>
  <c r="K12" i="8"/>
  <c r="K33" i="7"/>
  <c r="N24" i="5"/>
  <c r="O21" i="5" s="1"/>
  <c r="N23" i="5"/>
  <c r="N81" i="10"/>
  <c r="O17" i="6"/>
  <c r="N29" i="6"/>
  <c r="N10" i="5"/>
  <c r="N11" i="5" s="1"/>
  <c r="O8" i="5" s="1"/>
  <c r="J67" i="10"/>
  <c r="J68" i="10" s="1"/>
  <c r="J15" i="8"/>
  <c r="N82" i="10"/>
  <c r="N30" i="6"/>
  <c r="N16" i="7"/>
  <c r="O18" i="6"/>
  <c r="P12" i="6"/>
  <c r="P10" i="6"/>
  <c r="P8" i="6"/>
  <c r="Q5" i="6"/>
  <c r="P13" i="6"/>
  <c r="P11" i="6"/>
  <c r="P9" i="6"/>
  <c r="P25" i="6"/>
  <c r="N84" i="10"/>
  <c r="N32" i="6"/>
  <c r="N9" i="7" s="1"/>
  <c r="O20" i="6"/>
  <c r="C26" i="8"/>
  <c r="D22" i="8"/>
  <c r="L23" i="7"/>
  <c r="L13" i="8" s="1"/>
  <c r="L22" i="7"/>
  <c r="M13" i="7"/>
  <c r="M30" i="7"/>
  <c r="M31" i="7" s="1"/>
  <c r="M14" i="8" s="1"/>
  <c r="N80" i="10"/>
  <c r="N21" i="7"/>
  <c r="N22" i="6"/>
  <c r="N27" i="7" s="1"/>
  <c r="N28" i="6"/>
  <c r="O16" i="6"/>
  <c r="N83" i="10"/>
  <c r="N31" i="6"/>
  <c r="O19" i="6"/>
  <c r="M20" i="7"/>
  <c r="M34" i="6"/>
  <c r="I68" i="10"/>
  <c r="E59" i="10"/>
  <c r="E9" i="8"/>
  <c r="P28" i="7"/>
  <c r="Q5" i="7"/>
  <c r="P14" i="7"/>
  <c r="F36" i="5"/>
  <c r="F35" i="5"/>
  <c r="F57" i="10" s="1"/>
  <c r="N85" i="10"/>
  <c r="N29" i="7"/>
  <c r="N33" i="6"/>
  <c r="N26" i="7" s="1"/>
  <c r="O21" i="6"/>
  <c r="L17" i="7"/>
  <c r="L15" i="7"/>
  <c r="G41" i="5"/>
  <c r="G16" i="5"/>
  <c r="G43" i="5" s="1"/>
  <c r="G17" i="5"/>
  <c r="O10" i="5" l="1"/>
  <c r="O11" i="5" s="1"/>
  <c r="P8" i="5" s="1"/>
  <c r="G18" i="5"/>
  <c r="Q28" i="7"/>
  <c r="R5" i="7"/>
  <c r="Q14" i="7"/>
  <c r="M23" i="7"/>
  <c r="M13" i="8" s="1"/>
  <c r="M22" i="7"/>
  <c r="D23" i="8"/>
  <c r="N30" i="7"/>
  <c r="N31" i="7" s="1"/>
  <c r="N14" i="8" s="1"/>
  <c r="AN14" i="8" s="1"/>
  <c r="O82" i="10"/>
  <c r="O16" i="7"/>
  <c r="P18" i="6"/>
  <c r="O30" i="6"/>
  <c r="O85" i="10"/>
  <c r="O29" i="7"/>
  <c r="O33" i="6"/>
  <c r="O26" i="7" s="1"/>
  <c r="P21" i="6"/>
  <c r="G45" i="5"/>
  <c r="G58" i="10" s="1"/>
  <c r="O83" i="10"/>
  <c r="O31" i="6"/>
  <c r="P19" i="6"/>
  <c r="K67" i="10"/>
  <c r="K15" i="8"/>
  <c r="G70" i="10"/>
  <c r="G44" i="5"/>
  <c r="K68" i="10"/>
  <c r="O23" i="5"/>
  <c r="O24" i="5" s="1"/>
  <c r="P21" i="5" s="1"/>
  <c r="G64" i="10"/>
  <c r="M15" i="7"/>
  <c r="M17" i="7" s="1"/>
  <c r="Q12" i="6"/>
  <c r="Q10" i="6"/>
  <c r="Q8" i="6"/>
  <c r="R5" i="6"/>
  <c r="Q11" i="6"/>
  <c r="Q13" i="6"/>
  <c r="Q9" i="6"/>
  <c r="Q25" i="6"/>
  <c r="N13" i="7"/>
  <c r="C27" i="8"/>
  <c r="C8" i="9"/>
  <c r="G65" i="10"/>
  <c r="E10" i="8"/>
  <c r="E61" i="10" s="1"/>
  <c r="E17" i="8"/>
  <c r="O80" i="10"/>
  <c r="O21" i="7"/>
  <c r="P16" i="6"/>
  <c r="O28" i="6"/>
  <c r="O22" i="6"/>
  <c r="O27" i="7" s="1"/>
  <c r="O84" i="10"/>
  <c r="P20" i="6"/>
  <c r="O32" i="6"/>
  <c r="O9" i="7" s="1"/>
  <c r="O81" i="10"/>
  <c r="P17" i="6"/>
  <c r="O29" i="6"/>
  <c r="G49" i="5"/>
  <c r="G50" i="5" s="1"/>
  <c r="L12" i="8"/>
  <c r="L33" i="7"/>
  <c r="F7" i="8"/>
  <c r="F51" i="5"/>
  <c r="F52" i="5" s="1"/>
  <c r="F10" i="9" s="1"/>
  <c r="F8" i="7"/>
  <c r="F10" i="7" s="1"/>
  <c r="F8" i="8" s="1"/>
  <c r="N20" i="7"/>
  <c r="N34" i="6"/>
  <c r="I29" i="5"/>
  <c r="I31" i="5" s="1"/>
  <c r="I30" i="5"/>
  <c r="I48" i="5" l="1"/>
  <c r="J27" i="5"/>
  <c r="I38" i="5"/>
  <c r="M12" i="8"/>
  <c r="M33" i="7"/>
  <c r="P23" i="5"/>
  <c r="P24" i="5" s="1"/>
  <c r="Q21" i="5" s="1"/>
  <c r="P10" i="5"/>
  <c r="P11" i="5" s="1"/>
  <c r="Q8" i="5" s="1"/>
  <c r="F59" i="10"/>
  <c r="F9" i="8"/>
  <c r="N17" i="7"/>
  <c r="N15" i="7"/>
  <c r="R28" i="7"/>
  <c r="S5" i="7"/>
  <c r="R14" i="7"/>
  <c r="L67" i="10"/>
  <c r="L15" i="8"/>
  <c r="E73" i="10"/>
  <c r="E71" i="10"/>
  <c r="E72" i="10" s="1"/>
  <c r="D24" i="8"/>
  <c r="D25" i="8" s="1"/>
  <c r="G69" i="10"/>
  <c r="H14" i="5"/>
  <c r="G34" i="5"/>
  <c r="G37" i="5"/>
  <c r="E63" i="10"/>
  <c r="E20" i="8"/>
  <c r="E18" i="8"/>
  <c r="E62" i="10" s="1"/>
  <c r="E75" i="10" s="1"/>
  <c r="P84" i="10"/>
  <c r="Q20" i="6"/>
  <c r="P32" i="6"/>
  <c r="P9" i="7" s="1"/>
  <c r="P85" i="10"/>
  <c r="Q21" i="6"/>
  <c r="P29" i="7"/>
  <c r="P33" i="6"/>
  <c r="P26" i="7" s="1"/>
  <c r="O20" i="7"/>
  <c r="O34" i="6"/>
  <c r="N22" i="7"/>
  <c r="N23" i="7" s="1"/>
  <c r="N13" i="8" s="1"/>
  <c r="AN13" i="8" s="1"/>
  <c r="P80" i="10"/>
  <c r="P21" i="7"/>
  <c r="Q16" i="6"/>
  <c r="P22" i="6"/>
  <c r="P27" i="7" s="1"/>
  <c r="P28" i="6"/>
  <c r="P83" i="10"/>
  <c r="Q19" i="6"/>
  <c r="P31" i="6"/>
  <c r="O13" i="7"/>
  <c r="O30" i="7"/>
  <c r="O31" i="7"/>
  <c r="O14" i="8" s="1"/>
  <c r="P81" i="10"/>
  <c r="Q17" i="6"/>
  <c r="P29" i="6"/>
  <c r="C12" i="9"/>
  <c r="R12" i="6"/>
  <c r="R10" i="6"/>
  <c r="R8" i="6"/>
  <c r="R13" i="6"/>
  <c r="R11" i="6"/>
  <c r="R9" i="6"/>
  <c r="S5" i="6"/>
  <c r="R25" i="6"/>
  <c r="P82" i="10"/>
  <c r="P16" i="7"/>
  <c r="Q18" i="6"/>
  <c r="P30" i="6"/>
  <c r="P13" i="7" s="1"/>
  <c r="Q11" i="5" l="1"/>
  <c r="R8" i="5" s="1"/>
  <c r="Q10" i="5"/>
  <c r="Q23" i="5"/>
  <c r="Q24" i="5" s="1"/>
  <c r="R21" i="5" s="1"/>
  <c r="Q82" i="10"/>
  <c r="Q16" i="7"/>
  <c r="R18" i="6"/>
  <c r="Q30" i="6"/>
  <c r="D26" i="8"/>
  <c r="P15" i="7"/>
  <c r="P17" i="7" s="1"/>
  <c r="Q85" i="10"/>
  <c r="Q29" i="7"/>
  <c r="Q33" i="6"/>
  <c r="Q26" i="7" s="1"/>
  <c r="R21" i="6"/>
  <c r="T5" i="6"/>
  <c r="S12" i="6"/>
  <c r="S8" i="6"/>
  <c r="S11" i="6"/>
  <c r="S10" i="6"/>
  <c r="S13" i="6"/>
  <c r="S9" i="6"/>
  <c r="S25" i="6"/>
  <c r="C17" i="9"/>
  <c r="Q83" i="10"/>
  <c r="Q31" i="6"/>
  <c r="R19" i="6"/>
  <c r="F17" i="8"/>
  <c r="F10" i="8"/>
  <c r="F61" i="10" s="1"/>
  <c r="M67" i="10"/>
  <c r="M15" i="8"/>
  <c r="Q80" i="10"/>
  <c r="Q21" i="7"/>
  <c r="R16" i="6"/>
  <c r="Q22" i="6"/>
  <c r="Q27" i="7" s="1"/>
  <c r="Q28" i="6"/>
  <c r="O15" i="7"/>
  <c r="O17" i="7" s="1"/>
  <c r="Q84" i="10"/>
  <c r="R20" i="6"/>
  <c r="Q32" i="6"/>
  <c r="Q9" i="7" s="1"/>
  <c r="G36" i="5"/>
  <c r="G35" i="5"/>
  <c r="G57" i="10" s="1"/>
  <c r="L68" i="10"/>
  <c r="P30" i="7"/>
  <c r="P31" i="7"/>
  <c r="P14" i="8" s="1"/>
  <c r="E22" i="8"/>
  <c r="N12" i="8"/>
  <c r="N33" i="7"/>
  <c r="Q81" i="10"/>
  <c r="Q29" i="6"/>
  <c r="R17" i="6"/>
  <c r="P20" i="7"/>
  <c r="P34" i="6"/>
  <c r="O23" i="7"/>
  <c r="O13" i="8" s="1"/>
  <c r="O22" i="7"/>
  <c r="H41" i="5"/>
  <c r="H16" i="5"/>
  <c r="H43" i="5" s="1"/>
  <c r="H17" i="5"/>
  <c r="H65" i="10" s="1"/>
  <c r="J29" i="5"/>
  <c r="J31" i="5" s="1"/>
  <c r="J30" i="5"/>
  <c r="S28" i="7"/>
  <c r="T5" i="7"/>
  <c r="S14" i="7"/>
  <c r="R23" i="5" l="1"/>
  <c r="R24" i="5" s="1"/>
  <c r="S21" i="5" s="1"/>
  <c r="O12" i="8"/>
  <c r="O33" i="7"/>
  <c r="J48" i="5"/>
  <c r="J38" i="5"/>
  <c r="K27" i="5"/>
  <c r="P12" i="8"/>
  <c r="R81" i="10"/>
  <c r="R29" i="6"/>
  <c r="S17" i="6"/>
  <c r="H18" i="5"/>
  <c r="T28" i="7"/>
  <c r="U5" i="7"/>
  <c r="T14" i="7"/>
  <c r="M68" i="10"/>
  <c r="H64" i="10"/>
  <c r="N68" i="10"/>
  <c r="R85" i="10"/>
  <c r="R29" i="7"/>
  <c r="S21" i="6"/>
  <c r="R33" i="6"/>
  <c r="R26" i="7" s="1"/>
  <c r="Q20" i="7"/>
  <c r="Q34" i="6"/>
  <c r="F71" i="10"/>
  <c r="F72" i="10" s="1"/>
  <c r="F73" i="10"/>
  <c r="Q30" i="7"/>
  <c r="Q31" i="7"/>
  <c r="Q14" i="8" s="1"/>
  <c r="P22" i="7"/>
  <c r="P23" i="7"/>
  <c r="P13" i="8" s="1"/>
  <c r="U5" i="6"/>
  <c r="T13" i="6"/>
  <c r="T11" i="6"/>
  <c r="T9" i="6"/>
  <c r="T12" i="6"/>
  <c r="T10" i="6"/>
  <c r="T8" i="6"/>
  <c r="T25" i="6"/>
  <c r="D8" i="9"/>
  <c r="D27" i="8"/>
  <c r="N67" i="10"/>
  <c r="N15" i="8"/>
  <c r="AN15" i="8" s="1"/>
  <c r="AN12" i="8"/>
  <c r="G7" i="8"/>
  <c r="G8" i="7"/>
  <c r="G10" i="7" s="1"/>
  <c r="G8" i="8" s="1"/>
  <c r="G51" i="5"/>
  <c r="G52" i="5" s="1"/>
  <c r="G10" i="9" s="1"/>
  <c r="F63" i="10"/>
  <c r="F20" i="8"/>
  <c r="F18" i="8"/>
  <c r="F62" i="10" s="1"/>
  <c r="F75" i="10" s="1"/>
  <c r="C24" i="9"/>
  <c r="C21" i="9"/>
  <c r="H49" i="5"/>
  <c r="H50" i="5" s="1"/>
  <c r="R80" i="10"/>
  <c r="R21" i="7"/>
  <c r="R22" i="6"/>
  <c r="R27" i="7" s="1"/>
  <c r="R28" i="6"/>
  <c r="S16" i="6"/>
  <c r="R83" i="10"/>
  <c r="R31" i="6"/>
  <c r="S19" i="6"/>
  <c r="Q13" i="7"/>
  <c r="H70" i="10"/>
  <c r="H44" i="5"/>
  <c r="H45" i="5" s="1"/>
  <c r="H58" i="10" s="1"/>
  <c r="E23" i="8"/>
  <c r="R84" i="10"/>
  <c r="S20" i="6"/>
  <c r="R32" i="6"/>
  <c r="R9" i="7" s="1"/>
  <c r="R82" i="10"/>
  <c r="R16" i="7"/>
  <c r="R30" i="6"/>
  <c r="S18" i="6"/>
  <c r="R10" i="5"/>
  <c r="R11" i="5" s="1"/>
  <c r="S8" i="5" s="1"/>
  <c r="S11" i="5" l="1"/>
  <c r="T8" i="5" s="1"/>
  <c r="S10" i="5"/>
  <c r="S23" i="5"/>
  <c r="S24" i="5"/>
  <c r="T21" i="5" s="1"/>
  <c r="Q17" i="7"/>
  <c r="Q15" i="7"/>
  <c r="H69" i="10"/>
  <c r="I14" i="5"/>
  <c r="H34" i="5"/>
  <c r="H37" i="5"/>
  <c r="S84" i="10"/>
  <c r="S32" i="6"/>
  <c r="S9" i="7" s="1"/>
  <c r="T20" i="6"/>
  <c r="S80" i="10"/>
  <c r="S21" i="7"/>
  <c r="S22" i="6"/>
  <c r="S27" i="7" s="1"/>
  <c r="S28" i="6"/>
  <c r="T16" i="6"/>
  <c r="C25" i="9"/>
  <c r="C26" i="9" s="1"/>
  <c r="C77" i="10" s="1"/>
  <c r="G59" i="10"/>
  <c r="G9" i="8"/>
  <c r="U28" i="7"/>
  <c r="V5" i="7"/>
  <c r="U14" i="7"/>
  <c r="K29" i="5"/>
  <c r="K31" i="5"/>
  <c r="K30" i="5"/>
  <c r="P68" i="10"/>
  <c r="AN67" i="10"/>
  <c r="S83" i="10"/>
  <c r="T19" i="6"/>
  <c r="S31" i="6"/>
  <c r="S81" i="10"/>
  <c r="S29" i="6"/>
  <c r="T17" i="6"/>
  <c r="D12" i="9"/>
  <c r="V5" i="6"/>
  <c r="U13" i="6"/>
  <c r="U11" i="6"/>
  <c r="U9" i="6"/>
  <c r="U10" i="6"/>
  <c r="U12" i="6"/>
  <c r="U8" i="6"/>
  <c r="U25" i="6"/>
  <c r="O67" i="10"/>
  <c r="O15" i="8"/>
  <c r="E24" i="8"/>
  <c r="E25" i="8" s="1"/>
  <c r="F23" i="8"/>
  <c r="C76" i="10"/>
  <c r="D20" i="9"/>
  <c r="Q22" i="7"/>
  <c r="Q23" i="7"/>
  <c r="Q13" i="8" s="1"/>
  <c r="O68" i="10"/>
  <c r="S82" i="10"/>
  <c r="S16" i="7"/>
  <c r="S30" i="6"/>
  <c r="S13" i="7" s="1"/>
  <c r="T18" i="6"/>
  <c r="R30" i="7"/>
  <c r="R31" i="7"/>
  <c r="R14" i="8" s="1"/>
  <c r="P67" i="10"/>
  <c r="P15" i="8"/>
  <c r="F22" i="8"/>
  <c r="R13" i="7"/>
  <c r="R20" i="7"/>
  <c r="R34" i="6"/>
  <c r="S85" i="10"/>
  <c r="S29" i="7"/>
  <c r="T21" i="6"/>
  <c r="S33" i="6"/>
  <c r="S26" i="7" s="1"/>
  <c r="P33" i="7"/>
  <c r="S15" i="7" l="1"/>
  <c r="S17" i="7" s="1"/>
  <c r="F24" i="8"/>
  <c r="F25" i="8" s="1"/>
  <c r="S30" i="7"/>
  <c r="S31" i="7" s="1"/>
  <c r="S14" i="8" s="1"/>
  <c r="T81" i="10"/>
  <c r="T29" i="6"/>
  <c r="U17" i="6"/>
  <c r="G17" i="8"/>
  <c r="G10" i="8"/>
  <c r="G61" i="10" s="1"/>
  <c r="T85" i="10"/>
  <c r="T29" i="7"/>
  <c r="T33" i="6"/>
  <c r="T26" i="7" s="1"/>
  <c r="U21" i="6"/>
  <c r="F26" i="8"/>
  <c r="K48" i="5"/>
  <c r="L27" i="5"/>
  <c r="K38" i="5"/>
  <c r="T23" i="5"/>
  <c r="T24" i="5" s="1"/>
  <c r="U21" i="5" s="1"/>
  <c r="V13" i="6"/>
  <c r="V11" i="6"/>
  <c r="V9" i="6"/>
  <c r="V12" i="6"/>
  <c r="V10" i="6"/>
  <c r="V8" i="6"/>
  <c r="W5" i="6"/>
  <c r="V25" i="6"/>
  <c r="T83" i="10"/>
  <c r="T31" i="6"/>
  <c r="U19" i="6"/>
  <c r="T10" i="5"/>
  <c r="T11" i="5"/>
  <c r="U8" i="5" s="1"/>
  <c r="T84" i="10"/>
  <c r="U20" i="6"/>
  <c r="T32" i="6"/>
  <c r="T9" i="7" s="1"/>
  <c r="R22" i="7"/>
  <c r="R23" i="7"/>
  <c r="R13" i="8" s="1"/>
  <c r="V28" i="7"/>
  <c r="W5" i="7"/>
  <c r="V14" i="7"/>
  <c r="T80" i="10"/>
  <c r="T22" i="6"/>
  <c r="T27" i="7" s="1"/>
  <c r="T28" i="6"/>
  <c r="U16" i="6"/>
  <c r="T21" i="7"/>
  <c r="I16" i="5"/>
  <c r="I43" i="5" s="1"/>
  <c r="I41" i="5"/>
  <c r="I17" i="5"/>
  <c r="I49" i="5"/>
  <c r="I50" i="5" s="1"/>
  <c r="E26" i="8"/>
  <c r="Q33" i="7"/>
  <c r="Q12" i="8"/>
  <c r="R15" i="7"/>
  <c r="R17" i="7" s="1"/>
  <c r="T82" i="10"/>
  <c r="U18" i="6"/>
  <c r="T16" i="7"/>
  <c r="T30" i="6"/>
  <c r="T13" i="7" s="1"/>
  <c r="D17" i="9"/>
  <c r="S20" i="7"/>
  <c r="S34" i="6"/>
  <c r="H35" i="5"/>
  <c r="H57" i="10" s="1"/>
  <c r="H74" i="10" s="1"/>
  <c r="H36" i="5"/>
  <c r="R33" i="7" l="1"/>
  <c r="R12" i="8"/>
  <c r="U23" i="5"/>
  <c r="U24" i="5"/>
  <c r="V21" i="5" s="1"/>
  <c r="S12" i="8"/>
  <c r="S22" i="7"/>
  <c r="S23" i="7" s="1"/>
  <c r="T34" i="6"/>
  <c r="T20" i="7"/>
  <c r="D24" i="9"/>
  <c r="Q67" i="10"/>
  <c r="Q15" i="8"/>
  <c r="U83" i="10"/>
  <c r="U31" i="6"/>
  <c r="V19" i="6"/>
  <c r="U80" i="10"/>
  <c r="U21" i="7"/>
  <c r="U28" i="6"/>
  <c r="U22" i="6"/>
  <c r="U27" i="7" s="1"/>
  <c r="V16" i="6"/>
  <c r="U10" i="5"/>
  <c r="U11" i="5" s="1"/>
  <c r="V8" i="5" s="1"/>
  <c r="L29" i="5"/>
  <c r="L31" i="5" s="1"/>
  <c r="L30" i="5"/>
  <c r="U81" i="10"/>
  <c r="U29" i="6"/>
  <c r="V17" i="6"/>
  <c r="I70" i="10"/>
  <c r="I44" i="5"/>
  <c r="I45" i="5" s="1"/>
  <c r="I58" i="10" s="1"/>
  <c r="E27" i="8"/>
  <c r="E8" i="9"/>
  <c r="H7" i="8"/>
  <c r="H8" i="7"/>
  <c r="H10" i="7" s="1"/>
  <c r="H8" i="8" s="1"/>
  <c r="H51" i="5"/>
  <c r="H52" i="5" s="1"/>
  <c r="H10" i="9" s="1"/>
  <c r="U82" i="10"/>
  <c r="U16" i="7"/>
  <c r="U30" i="6"/>
  <c r="U13" i="7" s="1"/>
  <c r="V18" i="6"/>
  <c r="I64" i="10"/>
  <c r="W28" i="7"/>
  <c r="X5" i="7"/>
  <c r="W14" i="7"/>
  <c r="F8" i="9"/>
  <c r="F12" i="9" s="1"/>
  <c r="F17" i="9" s="1"/>
  <c r="F24" i="9" s="1"/>
  <c r="F27" i="8"/>
  <c r="G73" i="10"/>
  <c r="G71" i="10"/>
  <c r="G72" i="10" s="1"/>
  <c r="T15" i="7"/>
  <c r="T17" i="7" s="1"/>
  <c r="I18" i="5"/>
  <c r="I65" i="10"/>
  <c r="U84" i="10"/>
  <c r="U32" i="6"/>
  <c r="U9" i="7" s="1"/>
  <c r="V20" i="6"/>
  <c r="W11" i="6"/>
  <c r="W10" i="6"/>
  <c r="W13" i="6"/>
  <c r="W9" i="6"/>
  <c r="W12" i="6"/>
  <c r="W8" i="6"/>
  <c r="X5" i="6"/>
  <c r="W25" i="6"/>
  <c r="U85" i="10"/>
  <c r="U29" i="7"/>
  <c r="U33" i="6"/>
  <c r="U26" i="7" s="1"/>
  <c r="V21" i="6"/>
  <c r="G63" i="10"/>
  <c r="G20" i="8"/>
  <c r="G18" i="8"/>
  <c r="G62" i="10" s="1"/>
  <c r="G75" i="10" s="1"/>
  <c r="D21" i="9"/>
  <c r="T31" i="7"/>
  <c r="T14" i="8" s="1"/>
  <c r="T30" i="7"/>
  <c r="S13" i="8" l="1"/>
  <c r="S33" i="7"/>
  <c r="T12" i="8"/>
  <c r="L48" i="5"/>
  <c r="M27" i="5"/>
  <c r="L38" i="5"/>
  <c r="V11" i="5"/>
  <c r="W8" i="5" s="1"/>
  <c r="V10" i="5"/>
  <c r="V82" i="10"/>
  <c r="V16" i="7"/>
  <c r="V30" i="6"/>
  <c r="W18" i="6"/>
  <c r="S67" i="10"/>
  <c r="S15" i="8"/>
  <c r="X12" i="6"/>
  <c r="X10" i="6"/>
  <c r="X8" i="6"/>
  <c r="Y5" i="6"/>
  <c r="X13" i="6"/>
  <c r="X11" i="6"/>
  <c r="X9" i="6"/>
  <c r="X25" i="6"/>
  <c r="D25" i="9"/>
  <c r="D26" i="9" s="1"/>
  <c r="D77" i="10" s="1"/>
  <c r="G22" i="8"/>
  <c r="U20" i="7"/>
  <c r="U34" i="6"/>
  <c r="D76" i="10"/>
  <c r="E20" i="9"/>
  <c r="E12" i="9"/>
  <c r="U15" i="7"/>
  <c r="U17" i="7" s="1"/>
  <c r="V23" i="5"/>
  <c r="V24" i="5" s="1"/>
  <c r="W21" i="5" s="1"/>
  <c r="T22" i="7"/>
  <c r="T23" i="7"/>
  <c r="T13" i="8" s="1"/>
  <c r="H59" i="10"/>
  <c r="H9" i="8"/>
  <c r="Q68" i="10"/>
  <c r="V84" i="10"/>
  <c r="V32" i="6"/>
  <c r="V9" i="7" s="1"/>
  <c r="W20" i="6"/>
  <c r="V83" i="10"/>
  <c r="V31" i="6"/>
  <c r="W19" i="6"/>
  <c r="V85" i="10"/>
  <c r="V29" i="7"/>
  <c r="V33" i="6"/>
  <c r="V26" i="7" s="1"/>
  <c r="W21" i="6"/>
  <c r="I69" i="10"/>
  <c r="I37" i="5"/>
  <c r="I34" i="5"/>
  <c r="J14" i="5"/>
  <c r="V81" i="10"/>
  <c r="V29" i="6"/>
  <c r="W17" i="6"/>
  <c r="V80" i="10"/>
  <c r="V21" i="7"/>
  <c r="V28" i="6"/>
  <c r="W16" i="6"/>
  <c r="V22" i="6"/>
  <c r="V27" i="7" s="1"/>
  <c r="R67" i="10"/>
  <c r="S68" i="10" s="1"/>
  <c r="R15" i="8"/>
  <c r="U30" i="7"/>
  <c r="U31" i="7" s="1"/>
  <c r="U14" i="8" s="1"/>
  <c r="X28" i="7"/>
  <c r="Y5" i="7"/>
  <c r="X14" i="7"/>
  <c r="W23" i="5" l="1"/>
  <c r="W24" i="5"/>
  <c r="X21" i="5" s="1"/>
  <c r="U12" i="8"/>
  <c r="R68" i="10"/>
  <c r="U22" i="7"/>
  <c r="U23" i="7" s="1"/>
  <c r="G23" i="8"/>
  <c r="Y12" i="6"/>
  <c r="Y10" i="6"/>
  <c r="Y8" i="6"/>
  <c r="Z5" i="6"/>
  <c r="Y13" i="6"/>
  <c r="Y9" i="6"/>
  <c r="Y11" i="6"/>
  <c r="Y25" i="6"/>
  <c r="T67" i="10"/>
  <c r="T15" i="8"/>
  <c r="W81" i="10"/>
  <c r="X17" i="6"/>
  <c r="W29" i="6"/>
  <c r="W10" i="5"/>
  <c r="W11" i="5" s="1"/>
  <c r="X8" i="5" s="1"/>
  <c r="M30" i="5"/>
  <c r="M29" i="5"/>
  <c r="M31" i="5" s="1"/>
  <c r="J17" i="5"/>
  <c r="J41" i="5"/>
  <c r="J16" i="5"/>
  <c r="J43" i="5" s="1"/>
  <c r="J18" i="5"/>
  <c r="W82" i="10"/>
  <c r="W16" i="7"/>
  <c r="W30" i="6"/>
  <c r="X18" i="6"/>
  <c r="W80" i="10"/>
  <c r="X16" i="6"/>
  <c r="W22" i="6"/>
  <c r="W27" i="7" s="1"/>
  <c r="W28" i="6"/>
  <c r="W21" i="7"/>
  <c r="I35" i="5"/>
  <c r="I57" i="10" s="1"/>
  <c r="I74" i="10" s="1"/>
  <c r="I36" i="5"/>
  <c r="W83" i="10"/>
  <c r="W31" i="6"/>
  <c r="X19" i="6"/>
  <c r="T33" i="7"/>
  <c r="V20" i="7"/>
  <c r="V34" i="6"/>
  <c r="H17" i="8"/>
  <c r="H10" i="8"/>
  <c r="H61" i="10" s="1"/>
  <c r="V30" i="7"/>
  <c r="V31" i="7" s="1"/>
  <c r="V14" i="8" s="1"/>
  <c r="Y28" i="7"/>
  <c r="Z5" i="7"/>
  <c r="Y14" i="7"/>
  <c r="V13" i="7"/>
  <c r="W85" i="10"/>
  <c r="W29" i="7"/>
  <c r="X21" i="6"/>
  <c r="W33" i="6"/>
  <c r="W26" i="7" s="1"/>
  <c r="W84" i="10"/>
  <c r="W32" i="6"/>
  <c r="W9" i="7" s="1"/>
  <c r="X20" i="6"/>
  <c r="E17" i="9"/>
  <c r="U13" i="8" l="1"/>
  <c r="U33" i="7"/>
  <c r="M38" i="5"/>
  <c r="N27" i="5"/>
  <c r="M48" i="5"/>
  <c r="X10" i="5"/>
  <c r="X11" i="5" s="1"/>
  <c r="Y8" i="5" s="1"/>
  <c r="H71" i="10"/>
  <c r="H72" i="10" s="1"/>
  <c r="H73" i="10"/>
  <c r="J69" i="10"/>
  <c r="J37" i="5"/>
  <c r="J34" i="5"/>
  <c r="K14" i="5"/>
  <c r="Z28" i="7"/>
  <c r="AA5" i="7"/>
  <c r="Z14" i="7"/>
  <c r="X85" i="10"/>
  <c r="Y21" i="6"/>
  <c r="X33" i="6"/>
  <c r="X26" i="7" s="1"/>
  <c r="X29" i="7"/>
  <c r="W34" i="6"/>
  <c r="W20" i="7"/>
  <c r="J49" i="5"/>
  <c r="J50" i="5" s="1"/>
  <c r="X81" i="10"/>
  <c r="Y17" i="6"/>
  <c r="X29" i="6"/>
  <c r="Z12" i="6"/>
  <c r="Z10" i="6"/>
  <c r="Z8" i="6"/>
  <c r="Z13" i="6"/>
  <c r="Z11" i="6"/>
  <c r="Z9" i="6"/>
  <c r="AA5" i="6"/>
  <c r="Z25" i="6"/>
  <c r="H63" i="10"/>
  <c r="H18" i="8"/>
  <c r="H62" i="10" s="1"/>
  <c r="H75" i="10" s="1"/>
  <c r="H20" i="8"/>
  <c r="H22" i="8" s="1"/>
  <c r="X83" i="10"/>
  <c r="Y19" i="6"/>
  <c r="X31" i="6"/>
  <c r="V15" i="7"/>
  <c r="V17" i="7" s="1"/>
  <c r="X84" i="10"/>
  <c r="X32" i="6"/>
  <c r="X9" i="7" s="1"/>
  <c r="Y20" i="6"/>
  <c r="T68" i="10"/>
  <c r="U67" i="10"/>
  <c r="U15" i="8"/>
  <c r="X80" i="10"/>
  <c r="X21" i="7"/>
  <c r="Y16" i="6"/>
  <c r="X22" i="6"/>
  <c r="X27" i="7" s="1"/>
  <c r="X28" i="6"/>
  <c r="E24" i="9"/>
  <c r="J45" i="5"/>
  <c r="J58" i="10" s="1"/>
  <c r="X82" i="10"/>
  <c r="X16" i="7"/>
  <c r="Y18" i="6"/>
  <c r="X30" i="6"/>
  <c r="G24" i="8"/>
  <c r="G25" i="8" s="1"/>
  <c r="X23" i="5"/>
  <c r="X24" i="5" s="1"/>
  <c r="Y21" i="5" s="1"/>
  <c r="I7" i="8"/>
  <c r="I8" i="7"/>
  <c r="I10" i="7" s="1"/>
  <c r="I8" i="8" s="1"/>
  <c r="I51" i="5"/>
  <c r="I52" i="5" s="1"/>
  <c r="I10" i="9" s="1"/>
  <c r="J70" i="10"/>
  <c r="J44" i="5"/>
  <c r="W13" i="7"/>
  <c r="J64" i="10"/>
  <c r="W30" i="7"/>
  <c r="W31" i="7" s="1"/>
  <c r="W14" i="8" s="1"/>
  <c r="E21" i="9"/>
  <c r="V23" i="7"/>
  <c r="V13" i="8" s="1"/>
  <c r="V22" i="7"/>
  <c r="J65" i="10"/>
  <c r="Y10" i="5" l="1"/>
  <c r="Y11" i="5" s="1"/>
  <c r="Z8" i="5" s="1"/>
  <c r="V12" i="8"/>
  <c r="V33" i="7"/>
  <c r="Y23" i="5"/>
  <c r="Y24" i="5" s="1"/>
  <c r="Z21" i="5" s="1"/>
  <c r="Y82" i="10"/>
  <c r="Y16" i="7"/>
  <c r="Z18" i="6"/>
  <c r="Y30" i="6"/>
  <c r="X30" i="7"/>
  <c r="X31" i="7"/>
  <c r="X14" i="8" s="1"/>
  <c r="J35" i="5"/>
  <c r="J57" i="10" s="1"/>
  <c r="J74" i="10" s="1"/>
  <c r="J36" i="5"/>
  <c r="N30" i="5"/>
  <c r="N29" i="5"/>
  <c r="N31" i="5" s="1"/>
  <c r="Y85" i="10"/>
  <c r="Y29" i="7"/>
  <c r="Y33" i="6"/>
  <c r="Y26" i="7" s="1"/>
  <c r="Z21" i="6"/>
  <c r="Y80" i="10"/>
  <c r="Y21" i="7"/>
  <c r="Z16" i="6"/>
  <c r="Y22" i="6"/>
  <c r="Y27" i="7" s="1"/>
  <c r="Y28" i="6"/>
  <c r="I59" i="10"/>
  <c r="I9" i="8"/>
  <c r="G26" i="8"/>
  <c r="AB5" i="6"/>
  <c r="AA10" i="6"/>
  <c r="AA13" i="6"/>
  <c r="AA9" i="6"/>
  <c r="AA12" i="6"/>
  <c r="AA8" i="6"/>
  <c r="AA11" i="6"/>
  <c r="AA25" i="6"/>
  <c r="Y81" i="10"/>
  <c r="Y29" i="6"/>
  <c r="Z17" i="6"/>
  <c r="Y84" i="10"/>
  <c r="Z20" i="6"/>
  <c r="Y32" i="6"/>
  <c r="Y9" i="7" s="1"/>
  <c r="W23" i="7"/>
  <c r="W13" i="8" s="1"/>
  <c r="W22" i="7"/>
  <c r="E76" i="10"/>
  <c r="F20" i="9"/>
  <c r="F21" i="9" s="1"/>
  <c r="K65" i="10"/>
  <c r="K64" i="10"/>
  <c r="K41" i="5"/>
  <c r="K17" i="5"/>
  <c r="K16" i="5"/>
  <c r="K43" i="5" s="1"/>
  <c r="K49" i="5"/>
  <c r="K50" i="5" s="1"/>
  <c r="W15" i="7"/>
  <c r="W17" i="7" s="1"/>
  <c r="H23" i="8"/>
  <c r="E25" i="9"/>
  <c r="E26" i="9" s="1"/>
  <c r="E77" i="10" s="1"/>
  <c r="F25" i="9"/>
  <c r="U68" i="10"/>
  <c r="Y83" i="10"/>
  <c r="Y31" i="6"/>
  <c r="Z19" i="6"/>
  <c r="X13" i="7"/>
  <c r="X20" i="7"/>
  <c r="X34" i="6"/>
  <c r="AA28" i="7"/>
  <c r="AB5" i="7"/>
  <c r="AA14" i="7"/>
  <c r="Z10" i="5" l="1"/>
  <c r="Z11" i="5" s="1"/>
  <c r="AA8" i="5" s="1"/>
  <c r="N38" i="5"/>
  <c r="N48" i="5"/>
  <c r="O27" i="5"/>
  <c r="Z23" i="5"/>
  <c r="Z24" i="5" s="1"/>
  <c r="AA21" i="5" s="1"/>
  <c r="W33" i="7"/>
  <c r="W12" i="8"/>
  <c r="Z83" i="10"/>
  <c r="AA19" i="6"/>
  <c r="Z31" i="6"/>
  <c r="H24" i="8"/>
  <c r="H25" i="8" s="1"/>
  <c r="Z84" i="10"/>
  <c r="AA20" i="6"/>
  <c r="Z32" i="6"/>
  <c r="Z9" i="7" s="1"/>
  <c r="AC5" i="7"/>
  <c r="AB28" i="7"/>
  <c r="AB14" i="7"/>
  <c r="J7" i="8"/>
  <c r="J8" i="7"/>
  <c r="J10" i="7" s="1"/>
  <c r="J8" i="8" s="1"/>
  <c r="J51" i="5"/>
  <c r="J52" i="5" s="1"/>
  <c r="J10" i="9" s="1"/>
  <c r="Z85" i="10"/>
  <c r="Z29" i="7"/>
  <c r="AA21" i="6"/>
  <c r="Z33" i="6"/>
  <c r="Z26" i="7" s="1"/>
  <c r="F76" i="10"/>
  <c r="G20" i="9"/>
  <c r="Y30" i="7"/>
  <c r="Y31" i="7" s="1"/>
  <c r="Y14" i="8" s="1"/>
  <c r="F26" i="9"/>
  <c r="F77" i="10" s="1"/>
  <c r="K18" i="5"/>
  <c r="Y20" i="7"/>
  <c r="Y34" i="6"/>
  <c r="V67" i="10"/>
  <c r="V15" i="8"/>
  <c r="I17" i="8"/>
  <c r="I10" i="8"/>
  <c r="I61" i="10" s="1"/>
  <c r="Z81" i="10"/>
  <c r="AA17" i="6"/>
  <c r="Z29" i="6"/>
  <c r="X22" i="7"/>
  <c r="X23" i="7" s="1"/>
  <c r="X13" i="8" s="1"/>
  <c r="K70" i="10"/>
  <c r="K44" i="5"/>
  <c r="AC5" i="6"/>
  <c r="AB13" i="6"/>
  <c r="AB11" i="6"/>
  <c r="AB9" i="6"/>
  <c r="AB12" i="6"/>
  <c r="AB10" i="6"/>
  <c r="AB8" i="6"/>
  <c r="AB25" i="6"/>
  <c r="Y13" i="7"/>
  <c r="X15" i="7"/>
  <c r="X17" i="7" s="1"/>
  <c r="K45" i="5"/>
  <c r="K58" i="10" s="1"/>
  <c r="G8" i="9"/>
  <c r="G27" i="8"/>
  <c r="Z80" i="10"/>
  <c r="Z22" i="6"/>
  <c r="Z27" i="7" s="1"/>
  <c r="Z28" i="6"/>
  <c r="Z21" i="7"/>
  <c r="AA16" i="6"/>
  <c r="Z82" i="10"/>
  <c r="Z16" i="7"/>
  <c r="AA18" i="6"/>
  <c r="Z30" i="6"/>
  <c r="AA23" i="5" l="1"/>
  <c r="AA24" i="5" s="1"/>
  <c r="AB21" i="5" s="1"/>
  <c r="X33" i="7"/>
  <c r="X12" i="8"/>
  <c r="AA10" i="5"/>
  <c r="AA11" i="5"/>
  <c r="AB8" i="5" s="1"/>
  <c r="AA82" i="10"/>
  <c r="AA30" i="6"/>
  <c r="AA13" i="7" s="1"/>
  <c r="AA16" i="7"/>
  <c r="AB18" i="6"/>
  <c r="G12" i="9"/>
  <c r="AA84" i="10"/>
  <c r="AB20" i="6"/>
  <c r="AA32" i="6"/>
  <c r="AA9" i="7" s="1"/>
  <c r="V68" i="10"/>
  <c r="H26" i="8"/>
  <c r="AA80" i="10"/>
  <c r="AA21" i="7"/>
  <c r="AA22" i="6"/>
  <c r="AA27" i="7" s="1"/>
  <c r="AA28" i="6"/>
  <c r="AB16" i="6"/>
  <c r="J59" i="10"/>
  <c r="J9" i="8"/>
  <c r="O30" i="5"/>
  <c r="O31" i="5" s="1"/>
  <c r="O29" i="5"/>
  <c r="AA81" i="10"/>
  <c r="AA29" i="6"/>
  <c r="AB17" i="6"/>
  <c r="Z20" i="7"/>
  <c r="Z34" i="6"/>
  <c r="Z30" i="7"/>
  <c r="Z31" i="7" s="1"/>
  <c r="Z14" i="8" s="1"/>
  <c r="AO14" i="8" s="1"/>
  <c r="AA83" i="10"/>
  <c r="AB19" i="6"/>
  <c r="AA31" i="6"/>
  <c r="Y15" i="7"/>
  <c r="Y17" i="7" s="1"/>
  <c r="AD5" i="6"/>
  <c r="AC13" i="6"/>
  <c r="AC11" i="6"/>
  <c r="AC9" i="6"/>
  <c r="AC12" i="6"/>
  <c r="AC8" i="6"/>
  <c r="AC10" i="6"/>
  <c r="AC25" i="6"/>
  <c r="I71" i="10"/>
  <c r="I72" i="10" s="1"/>
  <c r="I73" i="10"/>
  <c r="AA85" i="10"/>
  <c r="AA29" i="7"/>
  <c r="AB21" i="6"/>
  <c r="AA33" i="6"/>
  <c r="AA26" i="7" s="1"/>
  <c r="AC28" i="7"/>
  <c r="AD5" i="7"/>
  <c r="AC14" i="7"/>
  <c r="Y22" i="7"/>
  <c r="Y23" i="7" s="1"/>
  <c r="Y13" i="8" s="1"/>
  <c r="K69" i="10"/>
  <c r="K34" i="5"/>
  <c r="K37" i="5"/>
  <c r="L14" i="5"/>
  <c r="Z13" i="7"/>
  <c r="I63" i="10"/>
  <c r="I18" i="8"/>
  <c r="I62" i="10" s="1"/>
  <c r="I75" i="10" s="1"/>
  <c r="I20" i="8"/>
  <c r="I22" i="8" s="1"/>
  <c r="W67" i="10"/>
  <c r="W68" i="10" s="1"/>
  <c r="W15" i="8"/>
  <c r="O48" i="5" l="1"/>
  <c r="P27" i="5"/>
  <c r="O38" i="5"/>
  <c r="Y33" i="7"/>
  <c r="Y12" i="8"/>
  <c r="AB23" i="5"/>
  <c r="AB24" i="5"/>
  <c r="AC21" i="5" s="1"/>
  <c r="Z17" i="7"/>
  <c r="Z15" i="7"/>
  <c r="Z22" i="7"/>
  <c r="Z23" i="7"/>
  <c r="Z13" i="8" s="1"/>
  <c r="AO13" i="8" s="1"/>
  <c r="J17" i="8"/>
  <c r="J10" i="8"/>
  <c r="J61" i="10" s="1"/>
  <c r="AB10" i="5"/>
  <c r="AB11" i="5" s="1"/>
  <c r="AC8" i="5" s="1"/>
  <c r="L41" i="5"/>
  <c r="L17" i="5"/>
  <c r="L16" i="5"/>
  <c r="L43" i="5" s="1"/>
  <c r="L49" i="5"/>
  <c r="L50" i="5" s="1"/>
  <c r="AB84" i="10"/>
  <c r="AC20" i="6"/>
  <c r="AB32" i="6"/>
  <c r="AB9" i="7" s="1"/>
  <c r="AB80" i="10"/>
  <c r="AC16" i="6"/>
  <c r="AB21" i="7"/>
  <c r="AB22" i="6"/>
  <c r="AB27" i="7" s="1"/>
  <c r="AB28" i="6"/>
  <c r="H8" i="9"/>
  <c r="H27" i="8"/>
  <c r="X67" i="10"/>
  <c r="X15" i="8"/>
  <c r="AD13" i="6"/>
  <c r="AD11" i="6"/>
  <c r="AD9" i="6"/>
  <c r="AD12" i="6"/>
  <c r="AD10" i="6"/>
  <c r="AD8" i="6"/>
  <c r="AE5" i="6"/>
  <c r="AD25" i="6"/>
  <c r="AA30" i="7"/>
  <c r="AA31" i="7" s="1"/>
  <c r="AA14" i="8" s="1"/>
  <c r="AB81" i="10"/>
  <c r="AB29" i="6"/>
  <c r="AC17" i="6"/>
  <c r="K35" i="5"/>
  <c r="K57" i="10" s="1"/>
  <c r="K74" i="10" s="1"/>
  <c r="K36" i="5"/>
  <c r="AB85" i="10"/>
  <c r="AB29" i="7"/>
  <c r="AC21" i="6"/>
  <c r="AB33" i="6"/>
  <c r="AB26" i="7" s="1"/>
  <c r="AB83" i="10"/>
  <c r="AB31" i="6"/>
  <c r="AC19" i="6"/>
  <c r="AA20" i="7"/>
  <c r="AA34" i="6"/>
  <c r="G17" i="9"/>
  <c r="AD28" i="7"/>
  <c r="AE5" i="7"/>
  <c r="AD14" i="7"/>
  <c r="AB82" i="10"/>
  <c r="AC18" i="6"/>
  <c r="AB30" i="6"/>
  <c r="AB13" i="7" s="1"/>
  <c r="AB16" i="7"/>
  <c r="AA17" i="7"/>
  <c r="AA15" i="7"/>
  <c r="I23" i="8"/>
  <c r="X68" i="10"/>
  <c r="AC10" i="5" l="1"/>
  <c r="AC11" i="5" s="1"/>
  <c r="AD8" i="5" s="1"/>
  <c r="Y67" i="10"/>
  <c r="Y15" i="8"/>
  <c r="AC23" i="5"/>
  <c r="AC24" i="5"/>
  <c r="AD21" i="5" s="1"/>
  <c r="AC82" i="10"/>
  <c r="AC16" i="7"/>
  <c r="AC30" i="6"/>
  <c r="AD18" i="6"/>
  <c r="AB20" i="7"/>
  <c r="AB34" i="6"/>
  <c r="AC85" i="10"/>
  <c r="AC29" i="7"/>
  <c r="AC33" i="6"/>
  <c r="AC26" i="7" s="1"/>
  <c r="AD21" i="6"/>
  <c r="L70" i="10"/>
  <c r="L44" i="5"/>
  <c r="J63" i="10"/>
  <c r="J20" i="8"/>
  <c r="J22" i="8" s="1"/>
  <c r="J18" i="8"/>
  <c r="J62" i="10" s="1"/>
  <c r="J75" i="10" s="1"/>
  <c r="H12" i="9"/>
  <c r="AC80" i="10"/>
  <c r="AC21" i="7"/>
  <c r="AC28" i="6"/>
  <c r="AC22" i="6"/>
  <c r="AC27" i="7" s="1"/>
  <c r="AD16" i="6"/>
  <c r="L18" i="5"/>
  <c r="AF5" i="7"/>
  <c r="AE28" i="7"/>
  <c r="AE14" i="7"/>
  <c r="AB30" i="7"/>
  <c r="AB31" i="7" s="1"/>
  <c r="AB14" i="8" s="1"/>
  <c r="J73" i="10"/>
  <c r="J71" i="10"/>
  <c r="J72" i="10" s="1"/>
  <c r="I24" i="8"/>
  <c r="I25" i="8" s="1"/>
  <c r="I26" i="8" s="1"/>
  <c r="G24" i="9"/>
  <c r="G21" i="9"/>
  <c r="AA22" i="7"/>
  <c r="AA23" i="7"/>
  <c r="AA13" i="8" s="1"/>
  <c r="K8" i="7"/>
  <c r="K10" i="7" s="1"/>
  <c r="K8" i="8" s="1"/>
  <c r="K7" i="8"/>
  <c r="K51" i="5"/>
  <c r="K52" i="5" s="1"/>
  <c r="K10" i="9" s="1"/>
  <c r="AE13" i="6"/>
  <c r="AE9" i="6"/>
  <c r="AE12" i="6"/>
  <c r="AE8" i="6"/>
  <c r="AE11" i="6"/>
  <c r="AE10" i="6"/>
  <c r="AF5" i="6"/>
  <c r="AE25" i="6"/>
  <c r="L45" i="5"/>
  <c r="L58" i="10" s="1"/>
  <c r="AB15" i="7"/>
  <c r="AB17" i="7" s="1"/>
  <c r="L65" i="10"/>
  <c r="P30" i="5"/>
  <c r="P31" i="5" s="1"/>
  <c r="P29" i="5"/>
  <c r="AA12" i="8"/>
  <c r="AC83" i="10"/>
  <c r="AC31" i="6"/>
  <c r="AD19" i="6"/>
  <c r="AC81" i="10"/>
  <c r="AC29" i="6"/>
  <c r="AD17" i="6"/>
  <c r="AC84" i="10"/>
  <c r="AC32" i="6"/>
  <c r="AC9" i="7" s="1"/>
  <c r="AD20" i="6"/>
  <c r="L64" i="10"/>
  <c r="Z33" i="7"/>
  <c r="Z12" i="8"/>
  <c r="Q27" i="5" l="1"/>
  <c r="P48" i="5"/>
  <c r="P38" i="5"/>
  <c r="AB12" i="8"/>
  <c r="AD10" i="5"/>
  <c r="AD11" i="5" s="1"/>
  <c r="AE8" i="5" s="1"/>
  <c r="AF12" i="6"/>
  <c r="AF10" i="6"/>
  <c r="AF8" i="6"/>
  <c r="AG5" i="6"/>
  <c r="AF11" i="6"/>
  <c r="AF9" i="6"/>
  <c r="AF13" i="6"/>
  <c r="AF25" i="6"/>
  <c r="AD23" i="5"/>
  <c r="AD24" i="5" s="1"/>
  <c r="AE21" i="5" s="1"/>
  <c r="Z67" i="10"/>
  <c r="Z15" i="8"/>
  <c r="AO15" i="8" s="1"/>
  <c r="AO12" i="8"/>
  <c r="AC20" i="7"/>
  <c r="AC34" i="6"/>
  <c r="I27" i="8"/>
  <c r="I8" i="9"/>
  <c r="I12" i="9" s="1"/>
  <c r="I17" i="9" s="1"/>
  <c r="I24" i="9" s="1"/>
  <c r="L69" i="10"/>
  <c r="L34" i="5"/>
  <c r="L37" i="5"/>
  <c r="M14" i="5"/>
  <c r="AD80" i="10"/>
  <c r="AD21" i="7"/>
  <c r="AD22" i="6"/>
  <c r="AD27" i="7" s="1"/>
  <c r="AD28" i="6"/>
  <c r="AE16" i="6"/>
  <c r="AD83" i="10"/>
  <c r="AD31" i="6"/>
  <c r="AE19" i="6"/>
  <c r="AD84" i="10"/>
  <c r="AD32" i="6"/>
  <c r="AD9" i="7" s="1"/>
  <c r="AE20" i="6"/>
  <c r="G76" i="10"/>
  <c r="H20" i="9"/>
  <c r="AB23" i="7"/>
  <c r="AB13" i="8" s="1"/>
  <c r="AB22" i="7"/>
  <c r="Y68" i="10"/>
  <c r="K59" i="10"/>
  <c r="K9" i="8"/>
  <c r="AA33" i="7"/>
  <c r="AD82" i="10"/>
  <c r="AD16" i="7"/>
  <c r="AD30" i="6"/>
  <c r="AE18" i="6"/>
  <c r="G25" i="9"/>
  <c r="G26" i="9" s="1"/>
  <c r="G77" i="10" s="1"/>
  <c r="AC13" i="7"/>
  <c r="AC30" i="7"/>
  <c r="AC31" i="7" s="1"/>
  <c r="AC14" i="8" s="1"/>
  <c r="H17" i="9"/>
  <c r="AA67" i="10"/>
  <c r="AA15" i="8"/>
  <c r="AD81" i="10"/>
  <c r="AD29" i="6"/>
  <c r="AE17" i="6"/>
  <c r="J23" i="8"/>
  <c r="AF28" i="7"/>
  <c r="AG5" i="7"/>
  <c r="AF14" i="7"/>
  <c r="AD85" i="10"/>
  <c r="AD29" i="7"/>
  <c r="AD33" i="6"/>
  <c r="AD26" i="7" s="1"/>
  <c r="AE21" i="6"/>
  <c r="AE23" i="5" l="1"/>
  <c r="AE24" i="5"/>
  <c r="AF21" i="5" s="1"/>
  <c r="AE11" i="5"/>
  <c r="AF8" i="5" s="1"/>
  <c r="AE10" i="5"/>
  <c r="J24" i="8"/>
  <c r="J25" i="8" s="1"/>
  <c r="J26" i="8" s="1"/>
  <c r="H24" i="9"/>
  <c r="AD13" i="7"/>
  <c r="AE83" i="10"/>
  <c r="AF19" i="6"/>
  <c r="AE31" i="6"/>
  <c r="M64" i="10"/>
  <c r="M41" i="5"/>
  <c r="M17" i="5"/>
  <c r="M16" i="5"/>
  <c r="M43" i="5" s="1"/>
  <c r="AC22" i="7"/>
  <c r="AC23" i="7" s="1"/>
  <c r="AC13" i="8" s="1"/>
  <c r="AB33" i="7"/>
  <c r="AE85" i="10"/>
  <c r="AE29" i="7"/>
  <c r="AF21" i="6"/>
  <c r="AE33" i="6"/>
  <c r="AE26" i="7" s="1"/>
  <c r="H21" i="9"/>
  <c r="L36" i="5"/>
  <c r="L35" i="5"/>
  <c r="L57" i="10" s="1"/>
  <c r="L74" i="10" s="1"/>
  <c r="AG12" i="6"/>
  <c r="AG10" i="6"/>
  <c r="AG8" i="6"/>
  <c r="AH5" i="6"/>
  <c r="AG11" i="6"/>
  <c r="AG13" i="6"/>
  <c r="AG9" i="6"/>
  <c r="AG25" i="6"/>
  <c r="AB67" i="10"/>
  <c r="AB15" i="8"/>
  <c r="AG28" i="7"/>
  <c r="AH5" i="7"/>
  <c r="AG14" i="7"/>
  <c r="AE82" i="10"/>
  <c r="AE30" i="6"/>
  <c r="AF18" i="6"/>
  <c r="AE16" i="7"/>
  <c r="AD30" i="7"/>
  <c r="AD31" i="7" s="1"/>
  <c r="AD14" i="8" s="1"/>
  <c r="AC15" i="7"/>
  <c r="AC17" i="7" s="1"/>
  <c r="AE80" i="10"/>
  <c r="AE21" i="7"/>
  <c r="AE28" i="6"/>
  <c r="AF16" i="6"/>
  <c r="AE22" i="6"/>
  <c r="AE27" i="7" s="1"/>
  <c r="AB68" i="10"/>
  <c r="AO67" i="10"/>
  <c r="Z68" i="10"/>
  <c r="AA68" i="10"/>
  <c r="K10" i="8"/>
  <c r="K61" i="10" s="1"/>
  <c r="K17" i="8"/>
  <c r="AE84" i="10"/>
  <c r="AE32" i="6"/>
  <c r="AE9" i="7" s="1"/>
  <c r="AF20" i="6"/>
  <c r="AD20" i="7"/>
  <c r="AD34" i="6"/>
  <c r="AE81" i="10"/>
  <c r="AE29" i="6"/>
  <c r="AF17" i="6"/>
  <c r="Q29" i="5"/>
  <c r="Q31" i="5" s="1"/>
  <c r="Q30" i="5"/>
  <c r="AC12" i="8" l="1"/>
  <c r="AC33" i="7"/>
  <c r="Q48" i="5"/>
  <c r="R27" i="5"/>
  <c r="Q38" i="5"/>
  <c r="AD22" i="7"/>
  <c r="AD23" i="7" s="1"/>
  <c r="AD13" i="8" s="1"/>
  <c r="AE13" i="7"/>
  <c r="L8" i="7"/>
  <c r="L10" i="7" s="1"/>
  <c r="L8" i="8" s="1"/>
  <c r="L7" i="8"/>
  <c r="L51" i="5"/>
  <c r="L52" i="5" s="1"/>
  <c r="L10" i="9" s="1"/>
  <c r="AF81" i="10"/>
  <c r="AG17" i="6"/>
  <c r="AF29" i="6"/>
  <c r="AF84" i="10"/>
  <c r="AF32" i="6"/>
  <c r="AF9" i="7" s="1"/>
  <c r="AG20" i="6"/>
  <c r="H76" i="10"/>
  <c r="I20" i="9"/>
  <c r="I21" i="9" s="1"/>
  <c r="M49" i="5"/>
  <c r="M50" i="5" s="1"/>
  <c r="AF83" i="10"/>
  <c r="AG19" i="6"/>
  <c r="AF31" i="6"/>
  <c r="AF82" i="10"/>
  <c r="AF16" i="7"/>
  <c r="AF30" i="6"/>
  <c r="AF13" i="7" s="1"/>
  <c r="AG18" i="6"/>
  <c r="J27" i="8"/>
  <c r="J8" i="9"/>
  <c r="J12" i="9" s="1"/>
  <c r="J17" i="9" s="1"/>
  <c r="J24" i="9" s="1"/>
  <c r="AE30" i="7"/>
  <c r="AE31" i="7" s="1"/>
  <c r="AE14" i="8" s="1"/>
  <c r="AH28" i="7"/>
  <c r="AI5" i="7"/>
  <c r="AH14" i="7"/>
  <c r="AH12" i="6"/>
  <c r="AH10" i="6"/>
  <c r="AH8" i="6"/>
  <c r="AH13" i="6"/>
  <c r="AH11" i="6"/>
  <c r="AH9" i="6"/>
  <c r="AI5" i="6"/>
  <c r="AH25" i="6"/>
  <c r="AF85" i="10"/>
  <c r="AG21" i="6"/>
  <c r="AF29" i="7"/>
  <c r="AF33" i="6"/>
  <c r="AF26" i="7" s="1"/>
  <c r="M18" i="5"/>
  <c r="AD15" i="7"/>
  <c r="AD17" i="7" s="1"/>
  <c r="K63" i="10"/>
  <c r="K18" i="8"/>
  <c r="K62" i="10" s="1"/>
  <c r="K75" i="10" s="1"/>
  <c r="K20" i="8"/>
  <c r="K22" i="8" s="1"/>
  <c r="M70" i="10"/>
  <c r="M44" i="5"/>
  <c r="AF10" i="5"/>
  <c r="AF11" i="5" s="1"/>
  <c r="AG8" i="5" s="1"/>
  <c r="M45" i="5"/>
  <c r="M58" i="10" s="1"/>
  <c r="J25" i="9"/>
  <c r="H25" i="9"/>
  <c r="H26" i="9" s="1"/>
  <c r="H77" i="10" s="1"/>
  <c r="I25" i="9"/>
  <c r="AF23" i="5"/>
  <c r="AF24" i="5" s="1"/>
  <c r="AG21" i="5" s="1"/>
  <c r="AE20" i="7"/>
  <c r="AE34" i="6"/>
  <c r="K71" i="10"/>
  <c r="K72" i="10" s="1"/>
  <c r="K73" i="10"/>
  <c r="AF80" i="10"/>
  <c r="AF21" i="7"/>
  <c r="AG16" i="6"/>
  <c r="AF22" i="6"/>
  <c r="AF27" i="7" s="1"/>
  <c r="AF28" i="6"/>
  <c r="M65" i="10"/>
  <c r="AG10" i="5" l="1"/>
  <c r="AG11" i="5" s="1"/>
  <c r="AH8" i="5" s="1"/>
  <c r="AD12" i="8"/>
  <c r="AD33" i="7"/>
  <c r="AG23" i="5"/>
  <c r="AG24" i="5" s="1"/>
  <c r="AH21" i="5" s="1"/>
  <c r="AJ5" i="6"/>
  <c r="AI12" i="6"/>
  <c r="AI8" i="6"/>
  <c r="AI11" i="6"/>
  <c r="AI10" i="6"/>
  <c r="AI13" i="6"/>
  <c r="AI9" i="6"/>
  <c r="AI25" i="6"/>
  <c r="R31" i="5"/>
  <c r="R29" i="5"/>
  <c r="R30" i="5"/>
  <c r="AF20" i="7"/>
  <c r="AF34" i="6"/>
  <c r="AE22" i="7"/>
  <c r="AE23" i="7" s="1"/>
  <c r="AE13" i="8" s="1"/>
  <c r="AG84" i="10"/>
  <c r="AG32" i="6"/>
  <c r="AG9" i="7" s="1"/>
  <c r="AH20" i="6"/>
  <c r="AG82" i="10"/>
  <c r="AG16" i="7"/>
  <c r="AH18" i="6"/>
  <c r="AG30" i="6"/>
  <c r="I76" i="10"/>
  <c r="J20" i="9"/>
  <c r="J21" i="9" s="1"/>
  <c r="L59" i="10"/>
  <c r="L9" i="8"/>
  <c r="M69" i="10"/>
  <c r="M34" i="5"/>
  <c r="M37" i="5"/>
  <c r="N14" i="5"/>
  <c r="AE15" i="7"/>
  <c r="AE17" i="7"/>
  <c r="AI28" i="7"/>
  <c r="AJ5" i="7"/>
  <c r="AI14" i="7"/>
  <c r="AG80" i="10"/>
  <c r="AG21" i="7"/>
  <c r="AH16" i="6"/>
  <c r="AG22" i="6"/>
  <c r="AG27" i="7" s="1"/>
  <c r="AG28" i="6"/>
  <c r="I26" i="9"/>
  <c r="I77" i="10" s="1"/>
  <c r="K23" i="8"/>
  <c r="AG83" i="10"/>
  <c r="AG31" i="6"/>
  <c r="AH19" i="6"/>
  <c r="AC67" i="10"/>
  <c r="AC15" i="8"/>
  <c r="AF15" i="7"/>
  <c r="AF17" i="7"/>
  <c r="AF30" i="7"/>
  <c r="AF31" i="7" s="1"/>
  <c r="AF14" i="8" s="1"/>
  <c r="AG85" i="10"/>
  <c r="AG29" i="7"/>
  <c r="AG33" i="6"/>
  <c r="AG26" i="7" s="1"/>
  <c r="AH21" i="6"/>
  <c r="AG81" i="10"/>
  <c r="AG29" i="6"/>
  <c r="AH17" i="6"/>
  <c r="AH23" i="5" l="1"/>
  <c r="AH24" i="5" s="1"/>
  <c r="AI21" i="5" s="1"/>
  <c r="AH10" i="5"/>
  <c r="AH11" i="5" s="1"/>
  <c r="AI8" i="5" s="1"/>
  <c r="AH80" i="10"/>
  <c r="AI16" i="6"/>
  <c r="AH21" i="7"/>
  <c r="AH22" i="6"/>
  <c r="AH27" i="7" s="1"/>
  <c r="AH28" i="6"/>
  <c r="N17" i="5"/>
  <c r="N41" i="5"/>
  <c r="N16" i="5"/>
  <c r="N43" i="5" s="1"/>
  <c r="N49" i="5"/>
  <c r="N50" i="5" s="1"/>
  <c r="AG13" i="7"/>
  <c r="AG30" i="7"/>
  <c r="AG31" i="7"/>
  <c r="AG14" i="8" s="1"/>
  <c r="M36" i="5"/>
  <c r="M35" i="5"/>
  <c r="M57" i="10" s="1"/>
  <c r="M74" i="10" s="1"/>
  <c r="AD67" i="10"/>
  <c r="AD15" i="8"/>
  <c r="J76" i="10"/>
  <c r="K20" i="9"/>
  <c r="R48" i="5"/>
  <c r="R38" i="5"/>
  <c r="S27" i="5"/>
  <c r="AJ28" i="7"/>
  <c r="AK5" i="7"/>
  <c r="AJ14" i="7"/>
  <c r="AF22" i="7"/>
  <c r="AF23" i="7"/>
  <c r="AF13" i="8" s="1"/>
  <c r="AH81" i="10"/>
  <c r="AI17" i="6"/>
  <c r="AH29" i="6"/>
  <c r="AF33" i="7"/>
  <c r="AF12" i="8"/>
  <c r="AH82" i="10"/>
  <c r="AH16" i="7"/>
  <c r="AI18" i="6"/>
  <c r="AH30" i="6"/>
  <c r="L10" i="8"/>
  <c r="L61" i="10" s="1"/>
  <c r="L17" i="8"/>
  <c r="AE12" i="8"/>
  <c r="AE33" i="7"/>
  <c r="AK5" i="6"/>
  <c r="AJ13" i="6"/>
  <c r="AJ11" i="6"/>
  <c r="AJ9" i="6"/>
  <c r="AJ12" i="6"/>
  <c r="AJ10" i="6"/>
  <c r="AJ8" i="6"/>
  <c r="AJ25" i="6"/>
  <c r="AH85" i="10"/>
  <c r="AH29" i="7"/>
  <c r="AI21" i="6"/>
  <c r="AH33" i="6"/>
  <c r="AH26" i="7" s="1"/>
  <c r="K24" i="8"/>
  <c r="K25" i="8" s="1"/>
  <c r="K26" i="8" s="1"/>
  <c r="AC68" i="10"/>
  <c r="AH83" i="10"/>
  <c r="AI19" i="6"/>
  <c r="AH31" i="6"/>
  <c r="AG20" i="7"/>
  <c r="AG34" i="6"/>
  <c r="J26" i="9"/>
  <c r="J77" i="10" s="1"/>
  <c r="AH84" i="10"/>
  <c r="AH32" i="6"/>
  <c r="AH9" i="7" s="1"/>
  <c r="AI20" i="6"/>
  <c r="AI10" i="5" l="1"/>
  <c r="AI11" i="5" s="1"/>
  <c r="AJ8" i="5" s="1"/>
  <c r="AI23" i="5"/>
  <c r="AI24" i="5" s="1"/>
  <c r="AJ21" i="5" s="1"/>
  <c r="K27" i="8"/>
  <c r="K8" i="9"/>
  <c r="K12" i="9" s="1"/>
  <c r="K17" i="9" s="1"/>
  <c r="K24" i="9" s="1"/>
  <c r="L71" i="10"/>
  <c r="L72" i="10" s="1"/>
  <c r="L73" i="10"/>
  <c r="AI80" i="10"/>
  <c r="AI21" i="7"/>
  <c r="AI22" i="6"/>
  <c r="AI27" i="7" s="1"/>
  <c r="AI28" i="6"/>
  <c r="AJ16" i="6"/>
  <c r="N70" i="10"/>
  <c r="N44" i="5"/>
  <c r="N45" i="5" s="1"/>
  <c r="N58" i="10" s="1"/>
  <c r="AN58" i="10" s="1"/>
  <c r="AI85" i="10"/>
  <c r="AI29" i="7"/>
  <c r="AJ21" i="6"/>
  <c r="AI33" i="6"/>
  <c r="AI26" i="7" s="1"/>
  <c r="AI81" i="10"/>
  <c r="AJ17" i="6"/>
  <c r="AI29" i="6"/>
  <c r="N18" i="5"/>
  <c r="L63" i="10"/>
  <c r="L20" i="8"/>
  <c r="L22" i="8" s="1"/>
  <c r="L18" i="8"/>
  <c r="L62" i="10" s="1"/>
  <c r="L75" i="10" s="1"/>
  <c r="S30" i="5"/>
  <c r="S29" i="5"/>
  <c r="S31" i="5" s="1"/>
  <c r="M7" i="8"/>
  <c r="M8" i="7"/>
  <c r="M10" i="7" s="1"/>
  <c r="M8" i="8" s="1"/>
  <c r="M51" i="5"/>
  <c r="M52" i="5" s="1"/>
  <c r="M10" i="9" s="1"/>
  <c r="AI84" i="10"/>
  <c r="AJ20" i="6"/>
  <c r="AI32" i="6"/>
  <c r="AI9" i="7" s="1"/>
  <c r="N65" i="10"/>
  <c r="AF67" i="10"/>
  <c r="AF15" i="8"/>
  <c r="AI83" i="10"/>
  <c r="AJ19" i="6"/>
  <c r="AI31" i="6"/>
  <c r="AD68" i="10"/>
  <c r="AL5" i="6"/>
  <c r="AK13" i="6"/>
  <c r="AK11" i="6"/>
  <c r="AK9" i="6"/>
  <c r="AK10" i="6"/>
  <c r="AK12" i="6"/>
  <c r="AK8" i="6"/>
  <c r="AK25" i="6"/>
  <c r="AI82" i="10"/>
  <c r="AI16" i="7"/>
  <c r="AJ18" i="6"/>
  <c r="AI30" i="6"/>
  <c r="K21" i="9"/>
  <c r="N64" i="10"/>
  <c r="AE67" i="10"/>
  <c r="AF68" i="10" s="1"/>
  <c r="AE15" i="8"/>
  <c r="AG22" i="7"/>
  <c r="AG23" i="7"/>
  <c r="AG13" i="8" s="1"/>
  <c r="AK28" i="7"/>
  <c r="AL5" i="7"/>
  <c r="AK14" i="7"/>
  <c r="AH30" i="7"/>
  <c r="AH31" i="7"/>
  <c r="AH14" i="8" s="1"/>
  <c r="AH13" i="7"/>
  <c r="AG15" i="7"/>
  <c r="AG17" i="7" s="1"/>
  <c r="AH20" i="7"/>
  <c r="AH34" i="6"/>
  <c r="AG33" i="7" l="1"/>
  <c r="AG12" i="8"/>
  <c r="S38" i="5"/>
  <c r="S48" i="5"/>
  <c r="T27" i="5"/>
  <c r="AJ23" i="5"/>
  <c r="AJ24" i="5"/>
  <c r="AK21" i="5" s="1"/>
  <c r="AJ10" i="5"/>
  <c r="AJ11" i="5"/>
  <c r="AK8" i="5" s="1"/>
  <c r="M59" i="10"/>
  <c r="M9" i="8"/>
  <c r="AJ81" i="10"/>
  <c r="AJ29" i="6"/>
  <c r="AK17" i="6"/>
  <c r="AJ80" i="10"/>
  <c r="AK16" i="6"/>
  <c r="AJ21" i="7"/>
  <c r="AJ22" i="6"/>
  <c r="AJ27" i="7" s="1"/>
  <c r="AJ28" i="6"/>
  <c r="K25" i="9"/>
  <c r="K26" i="9" s="1"/>
  <c r="K77" i="10" s="1"/>
  <c r="AI20" i="7"/>
  <c r="AI34" i="6"/>
  <c r="AH22" i="7"/>
  <c r="AH23" i="7" s="1"/>
  <c r="AH13" i="8" s="1"/>
  <c r="AJ84" i="10"/>
  <c r="AK20" i="6"/>
  <c r="AJ32" i="6"/>
  <c r="AJ9" i="7" s="1"/>
  <c r="AJ85" i="10"/>
  <c r="AJ29" i="7"/>
  <c r="AK21" i="6"/>
  <c r="AJ33" i="6"/>
  <c r="AJ26" i="7" s="1"/>
  <c r="AH15" i="7"/>
  <c r="AH17" i="7"/>
  <c r="AL13" i="6"/>
  <c r="AL11" i="6"/>
  <c r="AL9" i="6"/>
  <c r="AL12" i="6"/>
  <c r="AL10" i="6"/>
  <c r="AL8" i="6"/>
  <c r="AL25" i="6"/>
  <c r="AE68" i="10"/>
  <c r="AI30" i="7"/>
  <c r="AI31" i="7" s="1"/>
  <c r="AI14" i="8" s="1"/>
  <c r="AJ83" i="10"/>
  <c r="AK19" i="6"/>
  <c r="AJ31" i="6"/>
  <c r="L23" i="8"/>
  <c r="AI13" i="7"/>
  <c r="AL28" i="7"/>
  <c r="AL14" i="7"/>
  <c r="K76" i="10"/>
  <c r="L20" i="9"/>
  <c r="AJ82" i="10"/>
  <c r="AJ16" i="7"/>
  <c r="AK18" i="6"/>
  <c r="AJ30" i="6"/>
  <c r="AJ13" i="7" s="1"/>
  <c r="N69" i="10"/>
  <c r="N34" i="5"/>
  <c r="N37" i="5"/>
  <c r="O14" i="5"/>
  <c r="AK82" i="10" l="1"/>
  <c r="AK16" i="7"/>
  <c r="AK30" i="6"/>
  <c r="AL18" i="6"/>
  <c r="AK84" i="10"/>
  <c r="AK32" i="6"/>
  <c r="AK9" i="7" s="1"/>
  <c r="AL20" i="6"/>
  <c r="T30" i="5"/>
  <c r="T31" i="5" s="1"/>
  <c r="T29" i="5"/>
  <c r="AJ34" i="6"/>
  <c r="AJ20" i="7"/>
  <c r="M10" i="8"/>
  <c r="M61" i="10" s="1"/>
  <c r="M17" i="8"/>
  <c r="AK81" i="10"/>
  <c r="AK29" i="6"/>
  <c r="AL17" i="6"/>
  <c r="AJ30" i="7"/>
  <c r="AJ31" i="7" s="1"/>
  <c r="AJ14" i="8" s="1"/>
  <c r="AK23" i="5"/>
  <c r="AK24" i="5" s="1"/>
  <c r="AL21" i="5" s="1"/>
  <c r="AK85" i="10"/>
  <c r="AK29" i="7"/>
  <c r="AL21" i="6"/>
  <c r="AK33" i="6"/>
  <c r="AK26" i="7" s="1"/>
  <c r="AK80" i="10"/>
  <c r="AK21" i="7"/>
  <c r="AK28" i="6"/>
  <c r="AK22" i="6"/>
  <c r="AK27" i="7" s="1"/>
  <c r="AL16" i="6"/>
  <c r="AK10" i="5"/>
  <c r="AK11" i="5" s="1"/>
  <c r="AL8" i="5" s="1"/>
  <c r="AG67" i="10"/>
  <c r="AG15" i="8"/>
  <c r="AJ15" i="7"/>
  <c r="AJ17" i="7" s="1"/>
  <c r="AI15" i="7"/>
  <c r="AI17" i="7"/>
  <c r="L24" i="8"/>
  <c r="L25" i="8" s="1"/>
  <c r="L26" i="8" s="1"/>
  <c r="AH33" i="7"/>
  <c r="AH12" i="8"/>
  <c r="O41" i="5"/>
  <c r="O17" i="5"/>
  <c r="O16" i="5"/>
  <c r="O43" i="5" s="1"/>
  <c r="O49" i="5"/>
  <c r="O50" i="5" s="1"/>
  <c r="AK83" i="10"/>
  <c r="AK31" i="6"/>
  <c r="AL19" i="6"/>
  <c r="N36" i="5"/>
  <c r="N35" i="5"/>
  <c r="N57" i="10" s="1"/>
  <c r="AI22" i="7"/>
  <c r="AI23" i="7" s="1"/>
  <c r="AI13" i="8" s="1"/>
  <c r="AL23" i="5" l="1"/>
  <c r="AL24" i="5" s="1"/>
  <c r="T48" i="5"/>
  <c r="U27" i="5"/>
  <c r="T38" i="5"/>
  <c r="AJ12" i="8"/>
  <c r="AL11" i="5"/>
  <c r="AL10" i="5"/>
  <c r="AK30" i="7"/>
  <c r="AK31" i="7" s="1"/>
  <c r="AK14" i="8" s="1"/>
  <c r="M73" i="10"/>
  <c r="M71" i="10"/>
  <c r="M72" i="10" s="1"/>
  <c r="AL81" i="10"/>
  <c r="AL29" i="6"/>
  <c r="AJ23" i="7"/>
  <c r="AJ13" i="8" s="1"/>
  <c r="AJ22" i="7"/>
  <c r="AL82" i="10"/>
  <c r="AL16" i="7"/>
  <c r="AL30" i="6"/>
  <c r="AH67" i="10"/>
  <c r="AH15" i="8"/>
  <c r="AN57" i="10"/>
  <c r="N74" i="10"/>
  <c r="N7" i="8"/>
  <c r="N51" i="5"/>
  <c r="N52" i="5" s="1"/>
  <c r="N10" i="9" s="1"/>
  <c r="AN10" i="9" s="1"/>
  <c r="N8" i="7"/>
  <c r="N10" i="7" s="1"/>
  <c r="N8" i="8" s="1"/>
  <c r="AN8" i="8" s="1"/>
  <c r="AK13" i="7"/>
  <c r="M63" i="10"/>
  <c r="M20" i="8"/>
  <c r="M22" i="8" s="1"/>
  <c r="M18" i="8"/>
  <c r="M62" i="10" s="1"/>
  <c r="M75" i="10" s="1"/>
  <c r="L8" i="9"/>
  <c r="L12" i="9" s="1"/>
  <c r="L17" i="9" s="1"/>
  <c r="L27" i="8"/>
  <c r="AL85" i="10"/>
  <c r="AL29" i="7"/>
  <c r="AL33" i="6"/>
  <c r="AL26" i="7" s="1"/>
  <c r="O70" i="10"/>
  <c r="O44" i="5"/>
  <c r="AI12" i="8"/>
  <c r="AI33" i="7"/>
  <c r="AL80" i="10"/>
  <c r="AL21" i="7"/>
  <c r="AL22" i="6"/>
  <c r="AL28" i="6"/>
  <c r="AL83" i="10"/>
  <c r="AL31" i="6"/>
  <c r="AL84" i="10"/>
  <c r="AL32" i="6"/>
  <c r="AL9" i="7" s="1"/>
  <c r="AG68" i="10"/>
  <c r="AH68" i="10"/>
  <c r="O18" i="5"/>
  <c r="O45" i="5"/>
  <c r="O58" i="10" s="1"/>
  <c r="O64" i="10"/>
  <c r="O65" i="10"/>
  <c r="AK20" i="7"/>
  <c r="AK34" i="6"/>
  <c r="M23" i="8" l="1"/>
  <c r="AJ33" i="7"/>
  <c r="O69" i="10"/>
  <c r="O34" i="5"/>
  <c r="P14" i="5"/>
  <c r="O37" i="5"/>
  <c r="AJ67" i="10"/>
  <c r="AJ15" i="8"/>
  <c r="AI67" i="10"/>
  <c r="AI15" i="8"/>
  <c r="AK15" i="7"/>
  <c r="AK17" i="7" s="1"/>
  <c r="S11" i="10"/>
  <c r="AL27" i="7"/>
  <c r="AL13" i="7"/>
  <c r="U30" i="5"/>
  <c r="U29" i="5"/>
  <c r="U31" i="5" s="1"/>
  <c r="AL20" i="7"/>
  <c r="AL34" i="6"/>
  <c r="AJ68" i="10"/>
  <c r="AL30" i="7"/>
  <c r="AL31" i="7" s="1"/>
  <c r="AL14" i="8" s="1"/>
  <c r="AP14" i="8" s="1"/>
  <c r="AI68" i="10"/>
  <c r="AK22" i="7"/>
  <c r="AK23" i="7" s="1"/>
  <c r="AK13" i="8" s="1"/>
  <c r="N59" i="10"/>
  <c r="AN59" i="10" s="1"/>
  <c r="N9" i="8"/>
  <c r="AN7" i="8"/>
  <c r="L24" i="9"/>
  <c r="L21" i="9"/>
  <c r="U48" i="5" l="1"/>
  <c r="U38" i="5"/>
  <c r="V27" i="5"/>
  <c r="AK12" i="8"/>
  <c r="AK33" i="7"/>
  <c r="AL22" i="7"/>
  <c r="AL23" i="7" s="1"/>
  <c r="AL13" i="8" s="1"/>
  <c r="AP13" i="8" s="1"/>
  <c r="O36" i="5"/>
  <c r="O35" i="5"/>
  <c r="O57" i="10" s="1"/>
  <c r="O74" i="10" s="1"/>
  <c r="L76" i="10"/>
  <c r="M20" i="9"/>
  <c r="L25" i="9"/>
  <c r="L26" i="9" s="1"/>
  <c r="L77" i="10" s="1"/>
  <c r="AL15" i="7"/>
  <c r="AL17" i="7" s="1"/>
  <c r="M24" i="8"/>
  <c r="M25" i="8" s="1"/>
  <c r="M26" i="8" s="1"/>
  <c r="E65" i="2"/>
  <c r="D65" i="2"/>
  <c r="P41" i="5"/>
  <c r="P16" i="5"/>
  <c r="P43" i="5" s="1"/>
  <c r="P17" i="5"/>
  <c r="P49" i="5"/>
  <c r="P50" i="5" s="1"/>
  <c r="N17" i="8"/>
  <c r="N10" i="8"/>
  <c r="N61" i="10" s="1"/>
  <c r="AN9" i="8"/>
  <c r="AL12" i="8" l="1"/>
  <c r="AL33" i="7"/>
  <c r="P70" i="10"/>
  <c r="P44" i="5"/>
  <c r="P45" i="5" s="1"/>
  <c r="P58" i="10" s="1"/>
  <c r="AK67" i="10"/>
  <c r="AK15" i="8"/>
  <c r="O7" i="8"/>
  <c r="O8" i="7"/>
  <c r="O10" i="7" s="1"/>
  <c r="O8" i="8" s="1"/>
  <c r="O51" i="5"/>
  <c r="O52" i="5" s="1"/>
  <c r="O10" i="9" s="1"/>
  <c r="P18" i="5"/>
  <c r="V30" i="5"/>
  <c r="V31" i="5"/>
  <c r="V29" i="5"/>
  <c r="AN61" i="10"/>
  <c r="AN10" i="8"/>
  <c r="M27" i="8"/>
  <c r="M8" i="9"/>
  <c r="M12" i="9" s="1"/>
  <c r="M17" i="9" s="1"/>
  <c r="M24" i="9" s="1"/>
  <c r="N73" i="10"/>
  <c r="N71" i="10"/>
  <c r="N72" i="10" s="1"/>
  <c r="N63" i="10"/>
  <c r="AN63" i="10" s="1"/>
  <c r="AN62" i="10" s="1"/>
  <c r="N20" i="8"/>
  <c r="N18" i="8"/>
  <c r="N62" i="10" s="1"/>
  <c r="N75" i="10" s="1"/>
  <c r="AN17" i="8"/>
  <c r="AN18" i="8" s="1"/>
  <c r="P64" i="10"/>
  <c r="P65" i="10"/>
  <c r="M21" i="9" l="1"/>
  <c r="O59" i="10"/>
  <c r="O9" i="8"/>
  <c r="V48" i="5"/>
  <c r="V38" i="5"/>
  <c r="W27" i="5"/>
  <c r="AK68" i="10"/>
  <c r="M25" i="9"/>
  <c r="M26" i="9" s="1"/>
  <c r="M77" i="10" s="1"/>
  <c r="P69" i="10"/>
  <c r="Q14" i="5"/>
  <c r="P37" i="5"/>
  <c r="P34" i="5"/>
  <c r="N22" i="8"/>
  <c r="AN20" i="8"/>
  <c r="AL67" i="10"/>
  <c r="AP67" i="10" s="1"/>
  <c r="AL15" i="8"/>
  <c r="AP15" i="8" s="1"/>
  <c r="AP12" i="8"/>
  <c r="Q16" i="5" l="1"/>
  <c r="Q43" i="5" s="1"/>
  <c r="Q41" i="5"/>
  <c r="Q17" i="5"/>
  <c r="O10" i="8"/>
  <c r="O61" i="10" s="1"/>
  <c r="O17" i="8"/>
  <c r="O60" i="10"/>
  <c r="M76" i="10"/>
  <c r="N20" i="9"/>
  <c r="P36" i="5"/>
  <c r="P35" i="5"/>
  <c r="P57" i="10" s="1"/>
  <c r="P74" i="10" s="1"/>
  <c r="AN22" i="8"/>
  <c r="N23" i="8"/>
  <c r="AL68" i="10"/>
  <c r="W30" i="5"/>
  <c r="W29" i="5"/>
  <c r="W31" i="5"/>
  <c r="K16" i="10" l="1"/>
  <c r="Q70" i="10"/>
  <c r="Q44" i="5"/>
  <c r="Q45" i="5" s="1"/>
  <c r="Q58" i="10" s="1"/>
  <c r="O73" i="10"/>
  <c r="O71" i="10"/>
  <c r="O72" i="10" s="1"/>
  <c r="Q18" i="5"/>
  <c r="O63" i="10"/>
  <c r="O20" i="8"/>
  <c r="O18" i="8"/>
  <c r="O62" i="10" s="1"/>
  <c r="O75" i="10" s="1"/>
  <c r="W38" i="5"/>
  <c r="W48" i="5"/>
  <c r="X27" i="5"/>
  <c r="P7" i="8"/>
  <c r="P8" i="7"/>
  <c r="P10" i="7" s="1"/>
  <c r="P8" i="8" s="1"/>
  <c r="P51" i="5"/>
  <c r="P52" i="5" s="1"/>
  <c r="P10" i="9" s="1"/>
  <c r="Q64" i="10"/>
  <c r="Q49" i="5"/>
  <c r="Q50" i="5" s="1"/>
  <c r="N24" i="8"/>
  <c r="N25" i="8" s="1"/>
  <c r="Q65" i="10"/>
  <c r="AN25" i="8" l="1"/>
  <c r="N26" i="8"/>
  <c r="Q69" i="10"/>
  <c r="Q37" i="5"/>
  <c r="Q34" i="5"/>
  <c r="R14" i="5"/>
  <c r="O22" i="8"/>
  <c r="P59" i="10"/>
  <c r="P9" i="8"/>
  <c r="X29" i="5"/>
  <c r="X30" i="5"/>
  <c r="X31" i="5" s="1"/>
  <c r="Y27" i="5" l="1"/>
  <c r="X48" i="5"/>
  <c r="X38" i="5"/>
  <c r="N8" i="9"/>
  <c r="N27" i="8"/>
  <c r="AN26" i="8"/>
  <c r="AN27" i="8" s="1"/>
  <c r="O23" i="8"/>
  <c r="P17" i="8"/>
  <c r="P10" i="8"/>
  <c r="P61" i="10" s="1"/>
  <c r="P60" i="10"/>
  <c r="R65" i="10"/>
  <c r="R64" i="10"/>
  <c r="R17" i="5"/>
  <c r="R16" i="5"/>
  <c r="R43" i="5" s="1"/>
  <c r="R41" i="5"/>
  <c r="R18" i="5"/>
  <c r="R49" i="5"/>
  <c r="R50" i="5" s="1"/>
  <c r="Q35" i="5"/>
  <c r="Q57" i="10" s="1"/>
  <c r="Q74" i="10" s="1"/>
  <c r="Q36" i="5"/>
  <c r="R69" i="10" l="1"/>
  <c r="R37" i="5"/>
  <c r="R34" i="5"/>
  <c r="S14" i="5"/>
  <c r="P73" i="10"/>
  <c r="P71" i="10"/>
  <c r="P72" i="10" s="1"/>
  <c r="Q7" i="8"/>
  <c r="Q8" i="7"/>
  <c r="Q10" i="7" s="1"/>
  <c r="Q8" i="8" s="1"/>
  <c r="Q51" i="5"/>
  <c r="Q52" i="5" s="1"/>
  <c r="Q10" i="9" s="1"/>
  <c r="N12" i="9"/>
  <c r="AN8" i="9"/>
  <c r="P63" i="10"/>
  <c r="P18" i="8"/>
  <c r="P62" i="10" s="1"/>
  <c r="P75" i="10" s="1"/>
  <c r="P20" i="8"/>
  <c r="R70" i="10"/>
  <c r="R44" i="5"/>
  <c r="R45" i="5" s="1"/>
  <c r="R58" i="10" s="1"/>
  <c r="O24" i="8"/>
  <c r="O25" i="8" s="1"/>
  <c r="Y31" i="5"/>
  <c r="Y29" i="5"/>
  <c r="Y30" i="5"/>
  <c r="O26" i="8" l="1"/>
  <c r="Y48" i="5"/>
  <c r="Z27" i="5"/>
  <c r="Y38" i="5"/>
  <c r="S16" i="5"/>
  <c r="S43" i="5" s="1"/>
  <c r="S41" i="5"/>
  <c r="S17" i="5"/>
  <c r="S65" i="10" s="1"/>
  <c r="N17" i="9"/>
  <c r="AN12" i="9"/>
  <c r="R35" i="5"/>
  <c r="R57" i="10" s="1"/>
  <c r="R74" i="10" s="1"/>
  <c r="R36" i="5"/>
  <c r="Q59" i="10"/>
  <c r="Q9" i="8"/>
  <c r="P22" i="8"/>
  <c r="R7" i="8" l="1"/>
  <c r="R8" i="7"/>
  <c r="R10" i="7" s="1"/>
  <c r="R8" i="8" s="1"/>
  <c r="R51" i="5"/>
  <c r="R52" i="5" s="1"/>
  <c r="R10" i="9" s="1"/>
  <c r="S64" i="10"/>
  <c r="P23" i="8"/>
  <c r="S49" i="5"/>
  <c r="S50" i="5" s="1"/>
  <c r="Z29" i="5"/>
  <c r="Z31" i="5" s="1"/>
  <c r="Z30" i="5"/>
  <c r="N24" i="9"/>
  <c r="AN17" i="9"/>
  <c r="N21" i="9"/>
  <c r="S70" i="10"/>
  <c r="S44" i="5"/>
  <c r="S45" i="5" s="1"/>
  <c r="S58" i="10" s="1"/>
  <c r="O8" i="9"/>
  <c r="O27" i="8"/>
  <c r="Q17" i="8"/>
  <c r="Q10" i="8"/>
  <c r="Q61" i="10" s="1"/>
  <c r="Q60" i="10"/>
  <c r="S18" i="5"/>
  <c r="Z48" i="5" l="1"/>
  <c r="Z38" i="5"/>
  <c r="AA27" i="5"/>
  <c r="P24" i="8"/>
  <c r="P25" i="8" s="1"/>
  <c r="AN24" i="9"/>
  <c r="N25" i="9"/>
  <c r="Q63" i="10"/>
  <c r="Q18" i="8"/>
  <c r="Q62" i="10" s="1"/>
  <c r="Q75" i="10" s="1"/>
  <c r="Q20" i="8"/>
  <c r="S69" i="10"/>
  <c r="S37" i="5"/>
  <c r="T14" i="5"/>
  <c r="S34" i="5"/>
  <c r="Q73" i="10"/>
  <c r="Q71" i="10"/>
  <c r="Q72" i="10" s="1"/>
  <c r="N76" i="10"/>
  <c r="AN76" i="10" s="1"/>
  <c r="AN21" i="9"/>
  <c r="O20" i="9"/>
  <c r="O12" i="9"/>
  <c r="R59" i="10"/>
  <c r="R9" i="8"/>
  <c r="P26" i="8" l="1"/>
  <c r="AA29" i="5"/>
  <c r="AA30" i="5"/>
  <c r="AA31" i="5" s="1"/>
  <c r="Q22" i="8"/>
  <c r="R17" i="8"/>
  <c r="R10" i="8"/>
  <c r="R61" i="10" s="1"/>
  <c r="R60" i="10"/>
  <c r="S36" i="5"/>
  <c r="S35" i="5"/>
  <c r="S57" i="10" s="1"/>
  <c r="S74" i="10" s="1"/>
  <c r="N26" i="9"/>
  <c r="AN25" i="9"/>
  <c r="O17" i="9"/>
  <c r="T65" i="10"/>
  <c r="T41" i="5"/>
  <c r="T17" i="5"/>
  <c r="T16" i="5"/>
  <c r="T43" i="5" s="1"/>
  <c r="AA48" i="5" l="1"/>
  <c r="AB27" i="5"/>
  <c r="AA38" i="5"/>
  <c r="R63" i="10"/>
  <c r="R18" i="8"/>
  <c r="R62" i="10" s="1"/>
  <c r="R20" i="8"/>
  <c r="P8" i="9"/>
  <c r="P27" i="8"/>
  <c r="R71" i="10"/>
  <c r="R72" i="10" s="1"/>
  <c r="R73" i="10"/>
  <c r="T18" i="5"/>
  <c r="T64" i="10"/>
  <c r="T49" i="5"/>
  <c r="T50" i="5" s="1"/>
  <c r="O24" i="9"/>
  <c r="T70" i="10"/>
  <c r="T44" i="5"/>
  <c r="T45" i="5" s="1"/>
  <c r="T58" i="10" s="1"/>
  <c r="R75" i="10"/>
  <c r="AN26" i="9"/>
  <c r="N77" i="10"/>
  <c r="Q23" i="8"/>
  <c r="S7" i="8"/>
  <c r="S8" i="7"/>
  <c r="S10" i="7" s="1"/>
  <c r="S8" i="8" s="1"/>
  <c r="S51" i="5"/>
  <c r="S52" i="5" s="1"/>
  <c r="S10" i="9" s="1"/>
  <c r="O21" i="9"/>
  <c r="O25" i="9" l="1"/>
  <c r="O26" i="9" s="1"/>
  <c r="O77" i="10" s="1"/>
  <c r="R22" i="8"/>
  <c r="O76" i="10"/>
  <c r="P20" i="9"/>
  <c r="T69" i="10"/>
  <c r="T37" i="5"/>
  <c r="T34" i="5"/>
  <c r="U14" i="5"/>
  <c r="P12" i="9"/>
  <c r="AB29" i="5"/>
  <c r="AB31" i="5" s="1"/>
  <c r="AB30" i="5"/>
  <c r="S59" i="10"/>
  <c r="S9" i="8"/>
  <c r="Q24" i="8"/>
  <c r="Q25" i="8" s="1"/>
  <c r="R23" i="8"/>
  <c r="AB48" i="5" l="1"/>
  <c r="AC27" i="5"/>
  <c r="AB38" i="5"/>
  <c r="R24" i="8"/>
  <c r="R25" i="8" s="1"/>
  <c r="P17" i="9"/>
  <c r="S10" i="8"/>
  <c r="S61" i="10" s="1"/>
  <c r="S17" i="8"/>
  <c r="Q26" i="8"/>
  <c r="U64" i="10"/>
  <c r="U65" i="10"/>
  <c r="U41" i="5"/>
  <c r="U17" i="5"/>
  <c r="U16" i="5"/>
  <c r="U43" i="5" s="1"/>
  <c r="U49" i="5"/>
  <c r="U50" i="5" s="1"/>
  <c r="R26" i="8"/>
  <c r="T36" i="5"/>
  <c r="T35" i="5"/>
  <c r="T57" i="10" s="1"/>
  <c r="T74" i="10" s="1"/>
  <c r="S60" i="10"/>
  <c r="S71" i="10" l="1"/>
  <c r="S72" i="10" s="1"/>
  <c r="S73" i="10"/>
  <c r="P24" i="9"/>
  <c r="T7" i="8"/>
  <c r="T8" i="7"/>
  <c r="T10" i="7" s="1"/>
  <c r="T8" i="8" s="1"/>
  <c r="T51" i="5"/>
  <c r="T52" i="5" s="1"/>
  <c r="T10" i="9" s="1"/>
  <c r="AC30" i="5"/>
  <c r="AC29" i="5"/>
  <c r="AC31" i="5" s="1"/>
  <c r="R27" i="8"/>
  <c r="R8" i="9"/>
  <c r="R12" i="9" s="1"/>
  <c r="R17" i="9" s="1"/>
  <c r="R24" i="9" s="1"/>
  <c r="Q27" i="8"/>
  <c r="Q8" i="9"/>
  <c r="P21" i="9"/>
  <c r="U18" i="5"/>
  <c r="S75" i="10"/>
  <c r="U70" i="10"/>
  <c r="U44" i="5"/>
  <c r="U45" i="5" s="1"/>
  <c r="U58" i="10" s="1"/>
  <c r="S63" i="10"/>
  <c r="S18" i="8"/>
  <c r="S62" i="10" s="1"/>
  <c r="S20" i="8"/>
  <c r="AC38" i="5" l="1"/>
  <c r="AD27" i="5"/>
  <c r="AC48" i="5"/>
  <c r="P76" i="10"/>
  <c r="Q20" i="9"/>
  <c r="T59" i="10"/>
  <c r="T60" i="10" s="1"/>
  <c r="T9" i="8"/>
  <c r="U69" i="10"/>
  <c r="U34" i="5"/>
  <c r="U37" i="5"/>
  <c r="V14" i="5"/>
  <c r="P25" i="9"/>
  <c r="P26" i="9" s="1"/>
  <c r="P77" i="10" s="1"/>
  <c r="S22" i="8"/>
  <c r="Q12" i="9"/>
  <c r="T10" i="8" l="1"/>
  <c r="T61" i="10" s="1"/>
  <c r="T17" i="8"/>
  <c r="S23" i="8"/>
  <c r="V64" i="10"/>
  <c r="V41" i="5"/>
  <c r="V16" i="5"/>
  <c r="V43" i="5" s="1"/>
  <c r="V17" i="5"/>
  <c r="Q17" i="9"/>
  <c r="U36" i="5"/>
  <c r="U35" i="5"/>
  <c r="U57" i="10" s="1"/>
  <c r="U74" i="10" s="1"/>
  <c r="AD30" i="5"/>
  <c r="AD29" i="5"/>
  <c r="AD31" i="5" s="1"/>
  <c r="AD38" i="5" l="1"/>
  <c r="AD48" i="5"/>
  <c r="AE27" i="5"/>
  <c r="V70" i="10"/>
  <c r="V44" i="5"/>
  <c r="Q24" i="9"/>
  <c r="S24" i="8"/>
  <c r="S25" i="8" s="1"/>
  <c r="S26" i="8" s="1"/>
  <c r="V18" i="5"/>
  <c r="T63" i="10"/>
  <c r="T18" i="8"/>
  <c r="T62" i="10" s="1"/>
  <c r="T75" i="10" s="1"/>
  <c r="T20" i="8"/>
  <c r="T22" i="8" s="1"/>
  <c r="V45" i="5"/>
  <c r="V58" i="10" s="1"/>
  <c r="T71" i="10"/>
  <c r="T72" i="10" s="1"/>
  <c r="T73" i="10"/>
  <c r="Q21" i="9"/>
  <c r="V49" i="5"/>
  <c r="V50" i="5" s="1"/>
  <c r="U7" i="8"/>
  <c r="U8" i="7"/>
  <c r="U10" i="7" s="1"/>
  <c r="U8" i="8" s="1"/>
  <c r="U51" i="5"/>
  <c r="U52" i="5" s="1"/>
  <c r="U10" i="9" s="1"/>
  <c r="V65" i="10"/>
  <c r="U59" i="10" l="1"/>
  <c r="U60" i="10" s="1"/>
  <c r="U9" i="8"/>
  <c r="AE30" i="5"/>
  <c r="AE29" i="5"/>
  <c r="AE31" i="5" s="1"/>
  <c r="Q25" i="9"/>
  <c r="Q26" i="9" s="1"/>
  <c r="Q77" i="10" s="1"/>
  <c r="R25" i="9"/>
  <c r="R26" i="9" s="1"/>
  <c r="R77" i="10" s="1"/>
  <c r="V69" i="10"/>
  <c r="V34" i="5"/>
  <c r="V37" i="5"/>
  <c r="W14" i="5"/>
  <c r="S27" i="8"/>
  <c r="S8" i="9"/>
  <c r="Q76" i="10"/>
  <c r="R20" i="9"/>
  <c r="R21" i="9" s="1"/>
  <c r="T23" i="8"/>
  <c r="AE48" i="5" l="1"/>
  <c r="AF27" i="5"/>
  <c r="AE38" i="5"/>
  <c r="V36" i="5"/>
  <c r="V35" i="5"/>
  <c r="V57" i="10" s="1"/>
  <c r="V74" i="10" s="1"/>
  <c r="T24" i="8"/>
  <c r="T25" i="8" s="1"/>
  <c r="T26" i="8" s="1"/>
  <c r="U10" i="8"/>
  <c r="U61" i="10" s="1"/>
  <c r="U17" i="8"/>
  <c r="W17" i="5"/>
  <c r="W65" i="10" s="1"/>
  <c r="W41" i="5"/>
  <c r="W18" i="5"/>
  <c r="W16" i="5"/>
  <c r="W43" i="5" s="1"/>
  <c r="R76" i="10"/>
  <c r="S20" i="9"/>
  <c r="S12" i="9"/>
  <c r="W69" i="10" l="1"/>
  <c r="X14" i="5"/>
  <c r="W34" i="5"/>
  <c r="W37" i="5"/>
  <c r="V7" i="8"/>
  <c r="V51" i="5"/>
  <c r="V52" i="5" s="1"/>
  <c r="V10" i="9" s="1"/>
  <c r="V8" i="7"/>
  <c r="V10" i="7" s="1"/>
  <c r="V8" i="8" s="1"/>
  <c r="U63" i="10"/>
  <c r="U20" i="8"/>
  <c r="U22" i="8" s="1"/>
  <c r="U18" i="8"/>
  <c r="U62" i="10" s="1"/>
  <c r="U75" i="10" s="1"/>
  <c r="T8" i="9"/>
  <c r="T27" i="8"/>
  <c r="W64" i="10"/>
  <c r="U71" i="10"/>
  <c r="U72" i="10" s="1"/>
  <c r="U73" i="10"/>
  <c r="AF30" i="5"/>
  <c r="AF29" i="5"/>
  <c r="AF31" i="5" s="1"/>
  <c r="W70" i="10"/>
  <c r="W44" i="5"/>
  <c r="W45" i="5" s="1"/>
  <c r="W58" i="10" s="1"/>
  <c r="S17" i="9"/>
  <c r="W49" i="5"/>
  <c r="W50" i="5" s="1"/>
  <c r="AF48" i="5" l="1"/>
  <c r="AG27" i="5"/>
  <c r="AF38" i="5"/>
  <c r="V59" i="10"/>
  <c r="V60" i="10" s="1"/>
  <c r="V9" i="8"/>
  <c r="T12" i="9"/>
  <c r="S24" i="9"/>
  <c r="W36" i="5"/>
  <c r="W35" i="5"/>
  <c r="W57" i="10" s="1"/>
  <c r="W74" i="10" s="1"/>
  <c r="U23" i="8"/>
  <c r="X64" i="10"/>
  <c r="X65" i="10"/>
  <c r="X41" i="5"/>
  <c r="X17" i="5"/>
  <c r="X16" i="5"/>
  <c r="X43" i="5" s="1"/>
  <c r="X49" i="5"/>
  <c r="X50" i="5" s="1"/>
  <c r="S21" i="9"/>
  <c r="S25" i="9" l="1"/>
  <c r="S26" i="9" s="1"/>
  <c r="S77" i="10" s="1"/>
  <c r="S76" i="10"/>
  <c r="T20" i="9"/>
  <c r="T21" i="9" s="1"/>
  <c r="V17" i="8"/>
  <c r="V10" i="8"/>
  <c r="V61" i="10" s="1"/>
  <c r="T17" i="9"/>
  <c r="U24" i="8"/>
  <c r="U25" i="8" s="1"/>
  <c r="U26" i="8" s="1"/>
  <c r="X18" i="5"/>
  <c r="W7" i="8"/>
  <c r="W8" i="7"/>
  <c r="W10" i="7" s="1"/>
  <c r="W8" i="8" s="1"/>
  <c r="W51" i="5"/>
  <c r="W52" i="5" s="1"/>
  <c r="W10" i="9" s="1"/>
  <c r="AG29" i="5"/>
  <c r="AG31" i="5" s="1"/>
  <c r="AG30" i="5"/>
  <c r="X70" i="10"/>
  <c r="X44" i="5"/>
  <c r="X45" i="5" s="1"/>
  <c r="X58" i="10" s="1"/>
  <c r="AG48" i="5" l="1"/>
  <c r="AG38" i="5"/>
  <c r="AH27" i="5"/>
  <c r="U27" i="8"/>
  <c r="U8" i="9"/>
  <c r="U12" i="9" s="1"/>
  <c r="U17" i="9" s="1"/>
  <c r="U24" i="9" s="1"/>
  <c r="T76" i="10"/>
  <c r="U20" i="9"/>
  <c r="U21" i="9" s="1"/>
  <c r="W59" i="10"/>
  <c r="W60" i="10" s="1"/>
  <c r="W9" i="8"/>
  <c r="V73" i="10"/>
  <c r="V71" i="10"/>
  <c r="V72" i="10" s="1"/>
  <c r="V63" i="10"/>
  <c r="V20" i="8"/>
  <c r="V22" i="8" s="1"/>
  <c r="V18" i="8"/>
  <c r="V62" i="10" s="1"/>
  <c r="V75" i="10" s="1"/>
  <c r="T24" i="9"/>
  <c r="X69" i="10"/>
  <c r="Y14" i="5"/>
  <c r="X34" i="5"/>
  <c r="X37" i="5"/>
  <c r="U76" i="10" l="1"/>
  <c r="V20" i="9"/>
  <c r="U25" i="9"/>
  <c r="U26" i="9" s="1"/>
  <c r="U77" i="10" s="1"/>
  <c r="T25" i="9"/>
  <c r="T26" i="9" s="1"/>
  <c r="T77" i="10" s="1"/>
  <c r="AH29" i="5"/>
  <c r="AH31" i="5" s="1"/>
  <c r="AH30" i="5"/>
  <c r="Y16" i="5"/>
  <c r="Y43" i="5" s="1"/>
  <c r="Y41" i="5"/>
  <c r="Y17" i="5"/>
  <c r="Y49" i="5"/>
  <c r="Y50" i="5" s="1"/>
  <c r="V23" i="8"/>
  <c r="X35" i="5"/>
  <c r="X57" i="10" s="1"/>
  <c r="X74" i="10" s="1"/>
  <c r="X36" i="5"/>
  <c r="W17" i="8"/>
  <c r="W10" i="8"/>
  <c r="W61" i="10" s="1"/>
  <c r="AH48" i="5" l="1"/>
  <c r="AH38" i="5"/>
  <c r="AI27" i="5"/>
  <c r="W63" i="10"/>
  <c r="W20" i="8"/>
  <c r="W22" i="8" s="1"/>
  <c r="W18" i="8"/>
  <c r="W62" i="10" s="1"/>
  <c r="W75" i="10" s="1"/>
  <c r="Y70" i="10"/>
  <c r="Y44" i="5"/>
  <c r="Y45" i="5" s="1"/>
  <c r="Y58" i="10" s="1"/>
  <c r="X7" i="8"/>
  <c r="X8" i="7"/>
  <c r="X10" i="7" s="1"/>
  <c r="X8" i="8" s="1"/>
  <c r="X51" i="5"/>
  <c r="X52" i="5" s="1"/>
  <c r="X10" i="9" s="1"/>
  <c r="Y18" i="5"/>
  <c r="W23" i="8"/>
  <c r="V24" i="8"/>
  <c r="V25" i="8" s="1"/>
  <c r="V26" i="8" s="1"/>
  <c r="Y64" i="10"/>
  <c r="Y65" i="10"/>
  <c r="W73" i="10"/>
  <c r="W71" i="10"/>
  <c r="W72" i="10" s="1"/>
  <c r="V8" i="9" l="1"/>
  <c r="V12" i="9" s="1"/>
  <c r="V17" i="9" s="1"/>
  <c r="V27" i="8"/>
  <c r="W24" i="8"/>
  <c r="W25" i="8" s="1"/>
  <c r="W26" i="8" s="1"/>
  <c r="Y69" i="10"/>
  <c r="Y37" i="5"/>
  <c r="Y34" i="5"/>
  <c r="Z14" i="5"/>
  <c r="AI30" i="5"/>
  <c r="AI29" i="5"/>
  <c r="AI31" i="5" s="1"/>
  <c r="X59" i="10"/>
  <c r="X60" i="10" s="1"/>
  <c r="X9" i="8"/>
  <c r="W8" i="9" l="1"/>
  <c r="W12" i="9" s="1"/>
  <c r="W17" i="9" s="1"/>
  <c r="W24" i="9" s="1"/>
  <c r="W27" i="8"/>
  <c r="AI38" i="5"/>
  <c r="AI48" i="5"/>
  <c r="AJ27" i="5"/>
  <c r="X17" i="8"/>
  <c r="X10" i="8"/>
  <c r="X61" i="10" s="1"/>
  <c r="Z65" i="10"/>
  <c r="Z64" i="10"/>
  <c r="Z41" i="5"/>
  <c r="Z17" i="5"/>
  <c r="Z16" i="5"/>
  <c r="Z43" i="5" s="1"/>
  <c r="Y35" i="5"/>
  <c r="Y57" i="10" s="1"/>
  <c r="Y74" i="10" s="1"/>
  <c r="Y36" i="5"/>
  <c r="V24" i="9"/>
  <c r="V21" i="9"/>
  <c r="X71" i="10" l="1"/>
  <c r="X72" i="10" s="1"/>
  <c r="X73" i="10"/>
  <c r="Z49" i="5"/>
  <c r="Z50" i="5" s="1"/>
  <c r="X63" i="10"/>
  <c r="X18" i="8"/>
  <c r="X62" i="10" s="1"/>
  <c r="X75" i="10" s="1"/>
  <c r="X20" i="8"/>
  <c r="X22" i="8" s="1"/>
  <c r="V76" i="10"/>
  <c r="W20" i="9"/>
  <c r="W21" i="9" s="1"/>
  <c r="AJ30" i="5"/>
  <c r="AJ29" i="5"/>
  <c r="AJ31" i="5"/>
  <c r="W25" i="9"/>
  <c r="V25" i="9"/>
  <c r="V26" i="9" s="1"/>
  <c r="V77" i="10" s="1"/>
  <c r="Z18" i="5"/>
  <c r="Y7" i="8"/>
  <c r="Y8" i="7"/>
  <c r="Y10" i="7" s="1"/>
  <c r="Y8" i="8" s="1"/>
  <c r="Y51" i="5"/>
  <c r="Y52" i="5" s="1"/>
  <c r="Y10" i="9" s="1"/>
  <c r="Z70" i="10"/>
  <c r="Z44" i="5"/>
  <c r="Z45" i="5" s="1"/>
  <c r="Z58" i="10" s="1"/>
  <c r="AO58" i="10" s="1"/>
  <c r="X23" i="8" l="1"/>
  <c r="Z69" i="10"/>
  <c r="Z37" i="5"/>
  <c r="Z34" i="5"/>
  <c r="AA14" i="5"/>
  <c r="AK27" i="5"/>
  <c r="AJ48" i="5"/>
  <c r="AJ38" i="5"/>
  <c r="X20" i="9"/>
  <c r="W76" i="10"/>
  <c r="W26" i="9"/>
  <c r="W77" i="10" s="1"/>
  <c r="Y59" i="10"/>
  <c r="Y60" i="10" s="1"/>
  <c r="Y9" i="8"/>
  <c r="AK30" i="5" l="1"/>
  <c r="AK29" i="5"/>
  <c r="AK31" i="5" s="1"/>
  <c r="AA17" i="5"/>
  <c r="AA65" i="10" s="1"/>
  <c r="AA18" i="5"/>
  <c r="AA16" i="5"/>
  <c r="AA43" i="5" s="1"/>
  <c r="AA41" i="5"/>
  <c r="Z35" i="5"/>
  <c r="Z57" i="10" s="1"/>
  <c r="Z36" i="5"/>
  <c r="X24" i="8"/>
  <c r="X25" i="8" s="1"/>
  <c r="X26" i="8" s="1"/>
  <c r="Y17" i="8"/>
  <c r="Y10" i="8"/>
  <c r="Y61" i="10" s="1"/>
  <c r="AL27" i="5" l="1"/>
  <c r="AK48" i="5"/>
  <c r="AK38" i="5"/>
  <c r="AA69" i="10"/>
  <c r="AA34" i="5"/>
  <c r="AB14" i="5"/>
  <c r="AA37" i="5"/>
  <c r="AA64" i="10"/>
  <c r="Z7" i="8"/>
  <c r="Z8" i="7"/>
  <c r="Z10" i="7" s="1"/>
  <c r="Z8" i="8" s="1"/>
  <c r="AO8" i="8" s="1"/>
  <c r="Z51" i="5"/>
  <c r="Z52" i="5" s="1"/>
  <c r="Z10" i="9" s="1"/>
  <c r="AO10" i="9" s="1"/>
  <c r="Z74" i="10"/>
  <c r="AO57" i="10"/>
  <c r="AA70" i="10"/>
  <c r="AA44" i="5"/>
  <c r="Y71" i="10"/>
  <c r="Y72" i="10" s="1"/>
  <c r="Y73" i="10"/>
  <c r="Y63" i="10"/>
  <c r="Y18" i="8"/>
  <c r="Y62" i="10" s="1"/>
  <c r="Y75" i="10" s="1"/>
  <c r="Y20" i="8"/>
  <c r="Y22" i="8" s="1"/>
  <c r="AA49" i="5"/>
  <c r="AA50" i="5" s="1"/>
  <c r="X8" i="9"/>
  <c r="X12" i="9" s="1"/>
  <c r="X17" i="9" s="1"/>
  <c r="X27" i="8"/>
  <c r="AA45" i="5"/>
  <c r="AA58" i="10" s="1"/>
  <c r="AB65" i="10" l="1"/>
  <c r="AB16" i="5"/>
  <c r="AB43" i="5" s="1"/>
  <c r="AB41" i="5"/>
  <c r="AB17" i="5"/>
  <c r="X24" i="9"/>
  <c r="X21" i="9"/>
  <c r="Y23" i="8"/>
  <c r="AA35" i="5"/>
  <c r="AA57" i="10" s="1"/>
  <c r="AA74" i="10" s="1"/>
  <c r="AA36" i="5"/>
  <c r="Z59" i="10"/>
  <c r="Z9" i="8"/>
  <c r="AO7" i="8"/>
  <c r="AL30" i="5"/>
  <c r="AL29" i="5"/>
  <c r="AL31" i="5" s="1"/>
  <c r="AL38" i="5" l="1"/>
  <c r="AL48" i="5"/>
  <c r="AB70" i="10"/>
  <c r="AB44" i="5"/>
  <c r="AB49" i="5"/>
  <c r="AB50" i="5" s="1"/>
  <c r="AA7" i="8"/>
  <c r="AA8" i="7"/>
  <c r="AA10" i="7" s="1"/>
  <c r="AA8" i="8" s="1"/>
  <c r="AA51" i="5"/>
  <c r="AA52" i="5" s="1"/>
  <c r="AA10" i="9" s="1"/>
  <c r="X76" i="10"/>
  <c r="Y20" i="9"/>
  <c r="X25" i="9"/>
  <c r="X26" i="9" s="1"/>
  <c r="X77" i="10" s="1"/>
  <c r="AB45" i="5"/>
  <c r="AB58" i="10" s="1"/>
  <c r="Z17" i="8"/>
  <c r="Z10" i="8"/>
  <c r="Z61" i="10" s="1"/>
  <c r="AO9" i="8"/>
  <c r="Z60" i="10"/>
  <c r="AO59" i="10"/>
  <c r="AO60" i="10" s="1"/>
  <c r="Y24" i="8"/>
  <c r="Y25" i="8" s="1"/>
  <c r="Y26" i="8" s="1"/>
  <c r="AB18" i="5"/>
  <c r="AB64" i="10"/>
  <c r="Y27" i="8" l="1"/>
  <c r="Y8" i="9"/>
  <c r="Y12" i="9" s="1"/>
  <c r="Y17" i="9" s="1"/>
  <c r="Y24" i="9" s="1"/>
  <c r="AB69" i="10"/>
  <c r="AB37" i="5"/>
  <c r="AB34" i="5"/>
  <c r="AC14" i="5"/>
  <c r="AA59" i="10"/>
  <c r="AA9" i="8"/>
  <c r="AO61" i="10"/>
  <c r="AO10" i="8"/>
  <c r="Z73" i="10"/>
  <c r="Z71" i="10"/>
  <c r="Z72" i="10" s="1"/>
  <c r="Y21" i="9"/>
  <c r="Z63" i="10"/>
  <c r="AO63" i="10" s="1"/>
  <c r="AO62" i="10" s="1"/>
  <c r="AO75" i="10" s="1"/>
  <c r="Z20" i="8"/>
  <c r="Z18" i="8"/>
  <c r="Z62" i="10" s="1"/>
  <c r="Z75" i="10" s="1"/>
  <c r="AO17" i="8"/>
  <c r="AO18" i="8" s="1"/>
  <c r="Z22" i="8" l="1"/>
  <c r="AO20" i="8"/>
  <c r="Y25" i="9"/>
  <c r="Y26" i="9" s="1"/>
  <c r="Y77" i="10" s="1"/>
  <c r="AA17" i="8"/>
  <c r="AA10" i="8"/>
  <c r="AA61" i="10" s="1"/>
  <c r="AC64" i="10"/>
  <c r="AC41" i="5"/>
  <c r="AC17" i="5"/>
  <c r="AC16" i="5"/>
  <c r="AC43" i="5" s="1"/>
  <c r="Y76" i="10"/>
  <c r="Z20" i="9"/>
  <c r="AA60" i="10"/>
  <c r="AB35" i="5"/>
  <c r="AB57" i="10" s="1"/>
  <c r="AB74" i="10" s="1"/>
  <c r="AB36" i="5"/>
  <c r="AB8" i="7" l="1"/>
  <c r="AB10" i="7" s="1"/>
  <c r="AB8" i="8" s="1"/>
  <c r="AB51" i="5"/>
  <c r="AB52" i="5" s="1"/>
  <c r="AB10" i="9" s="1"/>
  <c r="AB7" i="8"/>
  <c r="AC49" i="5"/>
  <c r="AC50" i="5" s="1"/>
  <c r="AA71" i="10"/>
  <c r="AA72" i="10" s="1"/>
  <c r="AA73" i="10"/>
  <c r="AA63" i="10"/>
  <c r="AA18" i="8"/>
  <c r="AA62" i="10" s="1"/>
  <c r="AA75" i="10" s="1"/>
  <c r="AA20" i="8"/>
  <c r="AC18" i="5"/>
  <c r="AO22" i="8"/>
  <c r="Z23" i="8"/>
  <c r="AC70" i="10"/>
  <c r="AC44" i="5"/>
  <c r="AC45" i="5"/>
  <c r="AC58" i="10" s="1"/>
  <c r="AC65" i="10"/>
  <c r="Z24" i="8" l="1"/>
  <c r="Z25" i="8" s="1"/>
  <c r="AB59" i="10"/>
  <c r="AB9" i="8"/>
  <c r="AC69" i="10"/>
  <c r="AC34" i="5"/>
  <c r="AC37" i="5"/>
  <c r="AD14" i="5"/>
  <c r="AA22" i="8"/>
  <c r="AD65" i="10" l="1"/>
  <c r="AD41" i="5"/>
  <c r="AD16" i="5"/>
  <c r="AD43" i="5" s="1"/>
  <c r="AD17" i="5"/>
  <c r="AA23" i="8"/>
  <c r="AB10" i="8"/>
  <c r="AB61" i="10" s="1"/>
  <c r="AB17" i="8"/>
  <c r="AB60" i="10"/>
  <c r="AC36" i="5"/>
  <c r="AC35" i="5"/>
  <c r="AC57" i="10" s="1"/>
  <c r="AC74" i="10" s="1"/>
  <c r="AO25" i="8"/>
  <c r="Z26" i="8"/>
  <c r="AA24" i="8" l="1"/>
  <c r="AA25" i="8" s="1"/>
  <c r="AB71" i="10"/>
  <c r="AB72" i="10" s="1"/>
  <c r="AB73" i="10"/>
  <c r="AD49" i="5"/>
  <c r="AD50" i="5" s="1"/>
  <c r="AD18" i="5"/>
  <c r="AB63" i="10"/>
  <c r="AB20" i="8"/>
  <c r="AB18" i="8"/>
  <c r="AB62" i="10" s="1"/>
  <c r="AB75" i="10" s="1"/>
  <c r="Z27" i="8"/>
  <c r="Z8" i="9"/>
  <c r="AO26" i="8"/>
  <c r="AO27" i="8" s="1"/>
  <c r="AD64" i="10"/>
  <c r="AC7" i="8"/>
  <c r="AC8" i="7"/>
  <c r="AC10" i="7" s="1"/>
  <c r="AC8" i="8" s="1"/>
  <c r="AC51" i="5"/>
  <c r="AC52" i="5" s="1"/>
  <c r="AC10" i="9" s="1"/>
  <c r="AD70" i="10"/>
  <c r="AD44" i="5"/>
  <c r="AD45" i="5" s="1"/>
  <c r="AD58" i="10" s="1"/>
  <c r="AC59" i="10" l="1"/>
  <c r="AC9" i="8"/>
  <c r="AD69" i="10"/>
  <c r="AD34" i="5"/>
  <c r="AD37" i="5"/>
  <c r="AE14" i="5"/>
  <c r="Z12" i="9"/>
  <c r="AO8" i="9"/>
  <c r="AA26" i="8"/>
  <c r="AB22" i="8"/>
  <c r="AA27" i="8" l="1"/>
  <c r="AA8" i="9"/>
  <c r="AE65" i="10"/>
  <c r="AE64" i="10"/>
  <c r="AE41" i="5"/>
  <c r="AE17" i="5"/>
  <c r="AE16" i="5"/>
  <c r="AE43" i="5" s="1"/>
  <c r="AE49" i="5"/>
  <c r="AE50" i="5" s="1"/>
  <c r="AD36" i="5"/>
  <c r="AD35" i="5"/>
  <c r="AD57" i="10" s="1"/>
  <c r="AD74" i="10" s="1"/>
  <c r="AB23" i="8"/>
  <c r="AC10" i="8"/>
  <c r="AC61" i="10" s="1"/>
  <c r="AC17" i="8"/>
  <c r="Z17" i="9"/>
  <c r="AO12" i="9"/>
  <c r="AC60" i="10"/>
  <c r="Z24" i="9" l="1"/>
  <c r="AO17" i="9"/>
  <c r="Z21" i="9"/>
  <c r="AA12" i="9"/>
  <c r="AC63" i="10"/>
  <c r="AC20" i="8"/>
  <c r="AC18" i="8"/>
  <c r="AC62" i="10" s="1"/>
  <c r="AC75" i="10" s="1"/>
  <c r="AC73" i="10"/>
  <c r="AC71" i="10"/>
  <c r="AC72" i="10" s="1"/>
  <c r="AE70" i="10"/>
  <c r="AE44" i="5"/>
  <c r="AE45" i="5" s="1"/>
  <c r="AE58" i="10" s="1"/>
  <c r="AD7" i="8"/>
  <c r="AD51" i="5"/>
  <c r="AD52" i="5" s="1"/>
  <c r="AD10" i="9" s="1"/>
  <c r="AD8" i="7"/>
  <c r="AD10" i="7" s="1"/>
  <c r="AD8" i="8" s="1"/>
  <c r="AB24" i="8"/>
  <c r="AB25" i="8" s="1"/>
  <c r="AE18" i="5"/>
  <c r="AA17" i="9" l="1"/>
  <c r="Z76" i="10"/>
  <c r="AO76" i="10" s="1"/>
  <c r="AO21" i="9"/>
  <c r="AA20" i="9"/>
  <c r="AA21" i="9" s="1"/>
  <c r="AB26" i="8"/>
  <c r="AE69" i="10"/>
  <c r="AE34" i="5"/>
  <c r="AF14" i="5"/>
  <c r="AE37" i="5"/>
  <c r="AO24" i="9"/>
  <c r="Z25" i="9"/>
  <c r="AC22" i="8"/>
  <c r="AD59" i="10"/>
  <c r="AD9" i="8"/>
  <c r="AO25" i="9" l="1"/>
  <c r="Z26" i="9"/>
  <c r="AC23" i="8"/>
  <c r="AB8" i="9"/>
  <c r="AB27" i="8"/>
  <c r="AA76" i="10"/>
  <c r="AB20" i="9"/>
  <c r="AD17" i="8"/>
  <c r="AD10" i="8"/>
  <c r="AD61" i="10" s="1"/>
  <c r="AD60" i="10"/>
  <c r="AF41" i="5"/>
  <c r="AF16" i="5"/>
  <c r="AF43" i="5" s="1"/>
  <c r="AF17" i="5"/>
  <c r="AE36" i="5"/>
  <c r="AE35" i="5"/>
  <c r="AE57" i="10" s="1"/>
  <c r="AE74" i="10" s="1"/>
  <c r="AA24" i="9"/>
  <c r="AF70" i="10" l="1"/>
  <c r="AF44" i="5"/>
  <c r="AE8" i="7"/>
  <c r="AE10" i="7" s="1"/>
  <c r="AE8" i="8" s="1"/>
  <c r="AE7" i="8"/>
  <c r="AE51" i="5"/>
  <c r="AE52" i="5" s="1"/>
  <c r="AE10" i="9" s="1"/>
  <c r="AF49" i="5"/>
  <c r="AF50" i="5" s="1"/>
  <c r="AB12" i="9"/>
  <c r="AD71" i="10"/>
  <c r="AD72" i="10" s="1"/>
  <c r="AD73" i="10"/>
  <c r="AD75" i="10"/>
  <c r="AF18" i="5"/>
  <c r="AC24" i="8"/>
  <c r="AC25" i="8" s="1"/>
  <c r="AD63" i="10"/>
  <c r="AD20" i="8"/>
  <c r="AD18" i="8"/>
  <c r="AD62" i="10" s="1"/>
  <c r="AF45" i="5"/>
  <c r="AF58" i="10" s="1"/>
  <c r="AA25" i="9"/>
  <c r="AA26" i="9" s="1"/>
  <c r="AA77" i="10" s="1"/>
  <c r="AF64" i="10"/>
  <c r="AF65" i="10"/>
  <c r="Z77" i="10"/>
  <c r="AO26" i="9"/>
  <c r="AB17" i="9" l="1"/>
  <c r="AD22" i="8"/>
  <c r="AF69" i="10"/>
  <c r="AG14" i="5"/>
  <c r="AF37" i="5"/>
  <c r="AF34" i="5"/>
  <c r="AE59" i="10"/>
  <c r="AE9" i="8"/>
  <c r="AC26" i="8"/>
  <c r="AF36" i="5" l="1"/>
  <c r="AF35" i="5"/>
  <c r="AF57" i="10" s="1"/>
  <c r="AF74" i="10" s="1"/>
  <c r="AC27" i="8"/>
  <c r="AC8" i="9"/>
  <c r="AG65" i="10"/>
  <c r="AG64" i="10"/>
  <c r="AG16" i="5"/>
  <c r="AG43" i="5" s="1"/>
  <c r="AG17" i="5"/>
  <c r="AG41" i="5"/>
  <c r="AG49" i="5"/>
  <c r="AG50" i="5" s="1"/>
  <c r="AD23" i="8"/>
  <c r="AE17" i="8"/>
  <c r="AE10" i="8"/>
  <c r="AE61" i="10" s="1"/>
  <c r="AE60" i="10"/>
  <c r="AB24" i="9"/>
  <c r="AB21" i="9"/>
  <c r="AB25" i="9" l="1"/>
  <c r="AB26" i="9" s="1"/>
  <c r="AB77" i="10" s="1"/>
  <c r="AG45" i="5"/>
  <c r="AG58" i="10" s="1"/>
  <c r="AD24" i="8"/>
  <c r="AD25" i="8" s="1"/>
  <c r="AG70" i="10"/>
  <c r="AG44" i="5"/>
  <c r="AC12" i="9"/>
  <c r="AE71" i="10"/>
  <c r="AE72" i="10" s="1"/>
  <c r="AE73" i="10"/>
  <c r="AF7" i="8"/>
  <c r="AF8" i="7"/>
  <c r="AF10" i="7" s="1"/>
  <c r="AF8" i="8" s="1"/>
  <c r="AF51" i="5"/>
  <c r="AF52" i="5" s="1"/>
  <c r="AF10" i="9" s="1"/>
  <c r="AB76" i="10"/>
  <c r="AC20" i="9"/>
  <c r="AE63" i="10"/>
  <c r="AE20" i="8"/>
  <c r="AE18" i="8"/>
  <c r="AE62" i="10" s="1"/>
  <c r="AE75" i="10" s="1"/>
  <c r="AG18" i="5"/>
  <c r="AG69" i="10" l="1"/>
  <c r="AG37" i="5"/>
  <c r="AG34" i="5"/>
  <c r="AH14" i="5"/>
  <c r="AF59" i="10"/>
  <c r="AF60" i="10" s="1"/>
  <c r="AF9" i="8"/>
  <c r="AE22" i="8"/>
  <c r="AD26" i="8"/>
  <c r="AC17" i="9"/>
  <c r="AE23" i="8" l="1"/>
  <c r="AF17" i="8"/>
  <c r="AF10" i="8"/>
  <c r="AF61" i="10" s="1"/>
  <c r="AC24" i="9"/>
  <c r="AH17" i="5"/>
  <c r="AH41" i="5"/>
  <c r="AH16" i="5"/>
  <c r="AH43" i="5" s="1"/>
  <c r="AC21" i="9"/>
  <c r="AG35" i="5"/>
  <c r="AG57" i="10" s="1"/>
  <c r="AG74" i="10" s="1"/>
  <c r="AG36" i="5"/>
  <c r="AD8" i="9"/>
  <c r="AD27" i="8"/>
  <c r="AC25" i="9" l="1"/>
  <c r="AC26" i="9" s="1"/>
  <c r="AC77" i="10" s="1"/>
  <c r="AH18" i="5"/>
  <c r="AF73" i="10"/>
  <c r="AF71" i="10"/>
  <c r="AF72" i="10" s="1"/>
  <c r="AH70" i="10"/>
  <c r="AH44" i="5"/>
  <c r="AH45" i="5" s="1"/>
  <c r="AH58" i="10" s="1"/>
  <c r="AH49" i="5"/>
  <c r="AH50" i="5" s="1"/>
  <c r="AF63" i="10"/>
  <c r="AF20" i="8"/>
  <c r="AF22" i="8" s="1"/>
  <c r="AF18" i="8"/>
  <c r="AF62" i="10" s="1"/>
  <c r="AF75" i="10" s="1"/>
  <c r="AH65" i="10"/>
  <c r="AD12" i="9"/>
  <c r="AF23" i="8"/>
  <c r="AE24" i="8"/>
  <c r="AE25" i="8" s="1"/>
  <c r="AG7" i="8"/>
  <c r="AG8" i="7"/>
  <c r="AG10" i="7" s="1"/>
  <c r="AG8" i="8" s="1"/>
  <c r="AG51" i="5"/>
  <c r="AG52" i="5" s="1"/>
  <c r="AG10" i="9" s="1"/>
  <c r="AH64" i="10"/>
  <c r="AC76" i="10"/>
  <c r="AD20" i="9"/>
  <c r="AD17" i="9" l="1"/>
  <c r="AD21" i="9"/>
  <c r="AH69" i="10"/>
  <c r="AH37" i="5"/>
  <c r="AH34" i="5"/>
  <c r="AI14" i="5"/>
  <c r="AG59" i="10"/>
  <c r="AG60" i="10" s="1"/>
  <c r="AG9" i="8"/>
  <c r="AE26" i="8"/>
  <c r="AF24" i="8"/>
  <c r="AF25" i="8" s="1"/>
  <c r="AF26" i="8" s="1"/>
  <c r="AF8" i="9" l="1"/>
  <c r="AF12" i="9" s="1"/>
  <c r="AF17" i="9" s="1"/>
  <c r="AF24" i="9" s="1"/>
  <c r="AF27" i="8"/>
  <c r="AI41" i="5"/>
  <c r="AI17" i="5"/>
  <c r="AI65" i="10" s="1"/>
  <c r="AI16" i="5"/>
  <c r="AI43" i="5" s="1"/>
  <c r="AI49" i="5"/>
  <c r="AI50" i="5" s="1"/>
  <c r="AD76" i="10"/>
  <c r="AE20" i="9"/>
  <c r="AH35" i="5"/>
  <c r="AH57" i="10" s="1"/>
  <c r="AH74" i="10" s="1"/>
  <c r="AH36" i="5"/>
  <c r="AE8" i="9"/>
  <c r="AE27" i="8"/>
  <c r="AG10" i="8"/>
  <c r="AG61" i="10" s="1"/>
  <c r="AG17" i="8"/>
  <c r="AD24" i="9"/>
  <c r="AH7" i="8" l="1"/>
  <c r="AH8" i="7"/>
  <c r="AH10" i="7" s="1"/>
  <c r="AH8" i="8" s="1"/>
  <c r="AH51" i="5"/>
  <c r="AH52" i="5" s="1"/>
  <c r="AH10" i="9" s="1"/>
  <c r="AI18" i="5"/>
  <c r="AG63" i="10"/>
  <c r="AG18" i="8"/>
  <c r="AG62" i="10" s="1"/>
  <c r="AG75" i="10" s="1"/>
  <c r="AG20" i="8"/>
  <c r="AG22" i="8" s="1"/>
  <c r="AI64" i="10"/>
  <c r="AE12" i="9"/>
  <c r="AD25" i="9"/>
  <c r="AD26" i="9" s="1"/>
  <c r="AD77" i="10" s="1"/>
  <c r="AG73" i="10"/>
  <c r="AG71" i="10"/>
  <c r="AG72" i="10" s="1"/>
  <c r="AI70" i="10"/>
  <c r="AI44" i="5"/>
  <c r="AI45" i="5"/>
  <c r="AI58" i="10" s="1"/>
  <c r="AI69" i="10" l="1"/>
  <c r="AJ14" i="5"/>
  <c r="AI37" i="5"/>
  <c r="AI34" i="5"/>
  <c r="AG23" i="8"/>
  <c r="AE17" i="9"/>
  <c r="AH59" i="10"/>
  <c r="AH60" i="10" s="1"/>
  <c r="AH9" i="8"/>
  <c r="AI36" i="5" l="1"/>
  <c r="AI35" i="5"/>
  <c r="AI57" i="10" s="1"/>
  <c r="AI74" i="10" s="1"/>
  <c r="AG24" i="8"/>
  <c r="AG25" i="8" s="1"/>
  <c r="AG26" i="8" s="1"/>
  <c r="AE24" i="9"/>
  <c r="AE21" i="9"/>
  <c r="AH17" i="8"/>
  <c r="AH10" i="8"/>
  <c r="AH61" i="10" s="1"/>
  <c r="AJ41" i="5"/>
  <c r="AJ17" i="5"/>
  <c r="AJ16" i="5"/>
  <c r="AJ43" i="5" s="1"/>
  <c r="AJ70" i="10" l="1"/>
  <c r="AJ44" i="5"/>
  <c r="AJ18" i="5"/>
  <c r="AG25" i="9"/>
  <c r="AF25" i="9"/>
  <c r="AF26" i="9" s="1"/>
  <c r="AF77" i="10" s="1"/>
  <c r="AE25" i="9"/>
  <c r="AE26" i="9" s="1"/>
  <c r="AE77" i="10" s="1"/>
  <c r="AJ64" i="10"/>
  <c r="AH71" i="10"/>
  <c r="AH72" i="10" s="1"/>
  <c r="AH73" i="10"/>
  <c r="AG27" i="8"/>
  <c r="AG8" i="9"/>
  <c r="AG12" i="9" s="1"/>
  <c r="AG17" i="9" s="1"/>
  <c r="AG24" i="9" s="1"/>
  <c r="AH63" i="10"/>
  <c r="AH20" i="8"/>
  <c r="AH22" i="8" s="1"/>
  <c r="AH18" i="8"/>
  <c r="AH62" i="10" s="1"/>
  <c r="AH75" i="10" s="1"/>
  <c r="AJ45" i="5"/>
  <c r="AJ58" i="10" s="1"/>
  <c r="AJ65" i="10"/>
  <c r="AJ49" i="5"/>
  <c r="AJ50" i="5" s="1"/>
  <c r="AE76" i="10"/>
  <c r="AF20" i="9"/>
  <c r="AF21" i="9" s="1"/>
  <c r="AI7" i="8"/>
  <c r="AI8" i="7"/>
  <c r="AI10" i="7" s="1"/>
  <c r="AI8" i="8" s="1"/>
  <c r="AI51" i="5"/>
  <c r="AI52" i="5" s="1"/>
  <c r="AI10" i="9" s="1"/>
  <c r="AI59" i="10" l="1"/>
  <c r="AI60" i="10" s="1"/>
  <c r="AI9" i="8"/>
  <c r="AH23" i="8"/>
  <c r="AF76" i="10"/>
  <c r="AG20" i="9"/>
  <c r="AG21" i="9" s="1"/>
  <c r="AJ69" i="10"/>
  <c r="AJ37" i="5"/>
  <c r="AK14" i="5"/>
  <c r="AJ34" i="5"/>
  <c r="AG76" i="10" l="1"/>
  <c r="AH20" i="9"/>
  <c r="AJ36" i="5"/>
  <c r="AJ35" i="5"/>
  <c r="AJ57" i="10" s="1"/>
  <c r="AJ74" i="10" s="1"/>
  <c r="AK41" i="5"/>
  <c r="AK17" i="5"/>
  <c r="AK49" i="5" s="1"/>
  <c r="AK50" i="5" s="1"/>
  <c r="AK16" i="5"/>
  <c r="AK43" i="5" s="1"/>
  <c r="AH24" i="8"/>
  <c r="AH25" i="8" s="1"/>
  <c r="AH26" i="8" s="1"/>
  <c r="AI17" i="8"/>
  <c r="AI10" i="8"/>
  <c r="AI61" i="10" s="1"/>
  <c r="AG26" i="9"/>
  <c r="AG77" i="10" s="1"/>
  <c r="AK45" i="5" l="1"/>
  <c r="AK58" i="10" s="1"/>
  <c r="AH27" i="8"/>
  <c r="AH8" i="9"/>
  <c r="AH12" i="9" s="1"/>
  <c r="AH17" i="9" s="1"/>
  <c r="AH24" i="9" s="1"/>
  <c r="AJ8" i="7"/>
  <c r="AJ10" i="7" s="1"/>
  <c r="AJ8" i="8" s="1"/>
  <c r="AJ7" i="8"/>
  <c r="AJ51" i="5"/>
  <c r="AJ52" i="5" s="1"/>
  <c r="AJ10" i="9" s="1"/>
  <c r="AI63" i="10"/>
  <c r="AI18" i="8"/>
  <c r="AI62" i="10" s="1"/>
  <c r="AI75" i="10" s="1"/>
  <c r="AI20" i="8"/>
  <c r="AI22" i="8" s="1"/>
  <c r="AK70" i="10"/>
  <c r="AK44" i="5"/>
  <c r="AK64" i="10"/>
  <c r="AK65" i="10"/>
  <c r="AI73" i="10"/>
  <c r="AI71" i="10"/>
  <c r="AI72" i="10" s="1"/>
  <c r="AK18" i="5"/>
  <c r="AI23" i="8" l="1"/>
  <c r="AK69" i="10"/>
  <c r="AK34" i="5"/>
  <c r="AK37" i="5"/>
  <c r="AL14" i="5"/>
  <c r="AH25" i="9"/>
  <c r="AJ59" i="10"/>
  <c r="AJ60" i="10" s="1"/>
  <c r="AJ9" i="8"/>
  <c r="AH21" i="9"/>
  <c r="AL41" i="5" l="1"/>
  <c r="AL16" i="5"/>
  <c r="AL43" i="5" s="1"/>
  <c r="E92" i="10" s="1"/>
  <c r="AL17" i="5"/>
  <c r="AL65" i="10" s="1"/>
  <c r="G16" i="10" s="1"/>
  <c r="AK36" i="5"/>
  <c r="AK35" i="5"/>
  <c r="AK57" i="10" s="1"/>
  <c r="AK74" i="10" s="1"/>
  <c r="AJ17" i="8"/>
  <c r="AJ10" i="8"/>
  <c r="AJ61" i="10" s="1"/>
  <c r="AH76" i="10"/>
  <c r="AI20" i="9"/>
  <c r="AI24" i="8"/>
  <c r="AI25" i="8" s="1"/>
  <c r="AI26" i="8" s="1"/>
  <c r="AH26" i="9"/>
  <c r="AH77" i="10" s="1"/>
  <c r="AK7" i="8" l="1"/>
  <c r="AK8" i="7"/>
  <c r="AK10" i="7" s="1"/>
  <c r="AK8" i="8" s="1"/>
  <c r="AK51" i="5"/>
  <c r="AK52" i="5" s="1"/>
  <c r="AK10" i="9" s="1"/>
  <c r="AL18" i="5"/>
  <c r="AL49" i="5"/>
  <c r="AL50" i="5" s="1"/>
  <c r="AJ71" i="10"/>
  <c r="AJ72" i="10" s="1"/>
  <c r="AJ73" i="10"/>
  <c r="AJ63" i="10"/>
  <c r="AJ18" i="8"/>
  <c r="AJ62" i="10" s="1"/>
  <c r="AJ75" i="10" s="1"/>
  <c r="AJ20" i="8"/>
  <c r="AJ22" i="8" s="1"/>
  <c r="AL70" i="10"/>
  <c r="AL44" i="5"/>
  <c r="F93" i="10" s="1"/>
  <c r="AI27" i="8"/>
  <c r="AI8" i="9"/>
  <c r="AI12" i="9" s="1"/>
  <c r="AI17" i="9" s="1"/>
  <c r="AI24" i="9" s="1"/>
  <c r="AL64" i="10"/>
  <c r="C16" i="10" s="1"/>
  <c r="AI25" i="9" l="1"/>
  <c r="AL69" i="10"/>
  <c r="AL34" i="5"/>
  <c r="AL37" i="5"/>
  <c r="AI21" i="9"/>
  <c r="AJ23" i="8"/>
  <c r="AL45" i="5"/>
  <c r="AK59" i="10"/>
  <c r="AK60" i="10" s="1"/>
  <c r="AK9" i="8"/>
  <c r="AK17" i="8" l="1"/>
  <c r="AK10" i="8"/>
  <c r="AK61" i="10" s="1"/>
  <c r="G7" i="10"/>
  <c r="AL36" i="5"/>
  <c r="AL35" i="5"/>
  <c r="AI26" i="9"/>
  <c r="AI77" i="10" s="1"/>
  <c r="AJ24" i="8"/>
  <c r="AJ25" i="8" s="1"/>
  <c r="AJ26" i="8" s="1"/>
  <c r="AI76" i="10"/>
  <c r="AJ20" i="9"/>
  <c r="F90" i="10"/>
  <c r="G91" i="10"/>
  <c r="AL58" i="10"/>
  <c r="AP58" i="10" s="1"/>
  <c r="E67" i="2"/>
  <c r="D67" i="2"/>
  <c r="AJ8" i="9" l="1"/>
  <c r="AJ12" i="9" s="1"/>
  <c r="AJ17" i="9" s="1"/>
  <c r="AJ24" i="9" s="1"/>
  <c r="AJ27" i="8"/>
  <c r="AK63" i="10"/>
  <c r="AK20" i="8"/>
  <c r="AK22" i="8" s="1"/>
  <c r="AK18" i="8"/>
  <c r="AK62" i="10" s="1"/>
  <c r="AK75" i="10" s="1"/>
  <c r="AL57" i="10"/>
  <c r="C7" i="10"/>
  <c r="AJ21" i="9"/>
  <c r="AL7" i="8"/>
  <c r="AL8" i="7"/>
  <c r="AL10" i="7" s="1"/>
  <c r="AL8" i="8" s="1"/>
  <c r="AP8" i="8" s="1"/>
  <c r="AL51" i="5"/>
  <c r="AL52" i="5" s="1"/>
  <c r="AL10" i="9" s="1"/>
  <c r="AP10" i="9" s="1"/>
  <c r="AK71" i="10"/>
  <c r="AK72" i="10" s="1"/>
  <c r="AK73" i="10"/>
  <c r="AP57" i="10" l="1"/>
  <c r="AL74" i="10"/>
  <c r="AA16" i="10" s="1"/>
  <c r="C8" i="10"/>
  <c r="AJ76" i="10"/>
  <c r="AK20" i="9"/>
  <c r="AK23" i="8"/>
  <c r="AL59" i="10"/>
  <c r="AL9" i="8"/>
  <c r="AP7" i="8"/>
  <c r="AJ25" i="9"/>
  <c r="AJ26" i="9" s="1"/>
  <c r="AJ77" i="10" s="1"/>
  <c r="AK24" i="8" l="1"/>
  <c r="AK25" i="8" s="1"/>
  <c r="AK26" i="8" s="1"/>
  <c r="AL60" i="10"/>
  <c r="AP59" i="10"/>
  <c r="AP60" i="10" s="1"/>
  <c r="K7" i="10"/>
  <c r="E64" i="2"/>
  <c r="D64" i="2"/>
  <c r="AL17" i="8"/>
  <c r="AL10" i="8"/>
  <c r="AL61" i="10" s="1"/>
  <c r="AP9" i="8"/>
  <c r="AL63" i="10" l="1"/>
  <c r="AP63" i="10" s="1"/>
  <c r="AP62" i="10" s="1"/>
  <c r="AL20" i="8"/>
  <c r="AL18" i="8"/>
  <c r="AL62" i="10" s="1"/>
  <c r="AL75" i="10" s="1"/>
  <c r="W11" i="10" s="1"/>
  <c r="AP17" i="8"/>
  <c r="AP18" i="8" s="1"/>
  <c r="S7" i="10" s="1"/>
  <c r="AP75" i="10"/>
  <c r="AP61" i="10"/>
  <c r="AP10" i="8"/>
  <c r="O7" i="10" s="1"/>
  <c r="AL71" i="10"/>
  <c r="AL73" i="10"/>
  <c r="W16" i="10" s="1"/>
  <c r="AK27" i="8"/>
  <c r="AK8" i="9"/>
  <c r="AK12" i="9" s="1"/>
  <c r="AK17" i="9" s="1"/>
  <c r="AL22" i="8" l="1"/>
  <c r="AP20" i="8"/>
  <c r="AK24" i="9"/>
  <c r="AK21" i="9"/>
  <c r="AL72" i="10"/>
  <c r="S16" i="10" s="1"/>
  <c r="O16" i="10"/>
  <c r="AK76" i="10" l="1"/>
  <c r="AL20" i="9"/>
  <c r="AK25" i="9"/>
  <c r="AK26" i="9" s="1"/>
  <c r="AK77" i="10" s="1"/>
  <c r="AP22" i="8"/>
  <c r="AL23" i="8"/>
  <c r="AL24" i="8" s="1"/>
  <c r="AL25" i="8" s="1"/>
  <c r="D68" i="2" l="1"/>
  <c r="E68" i="2"/>
  <c r="AP25" i="8"/>
  <c r="AL26" i="8"/>
  <c r="AL8" i="9" l="1"/>
  <c r="AL27" i="8"/>
  <c r="AP26" i="8"/>
  <c r="AL12" i="9" l="1"/>
  <c r="AP8" i="9"/>
  <c r="AP27" i="8"/>
  <c r="W7" i="10"/>
  <c r="AL17" i="9" l="1"/>
  <c r="AP12" i="9"/>
  <c r="AL24" i="9" l="1"/>
  <c r="AP17" i="9"/>
  <c r="C11" i="10" s="1"/>
  <c r="AL21" i="9"/>
  <c r="AP24" i="9" l="1"/>
  <c r="AL25" i="9"/>
  <c r="G11" i="10"/>
  <c r="AL76" i="10"/>
  <c r="AP21" i="9"/>
  <c r="E66" i="2"/>
  <c r="D66" i="2"/>
  <c r="AP76" i="10" l="1"/>
  <c r="G12" i="10"/>
  <c r="AL26" i="9"/>
  <c r="K11" i="10"/>
  <c r="AP25" i="9"/>
  <c r="AL77" i="10" l="1"/>
  <c r="O11" i="10"/>
  <c r="AP26" i="9"/>
</calcChain>
</file>

<file path=xl/sharedStrings.xml><?xml version="1.0" encoding="utf-8"?>
<sst xmlns="http://schemas.openxmlformats.org/spreadsheetml/2006/main" count="613" uniqueCount="365">
  <si>
    <t>NOVAFLOW ANALYTICS</t>
  </si>
  <si>
    <t>Three-Year Operating Plan and SaaS KPI Model</t>
  </si>
  <si>
    <t>FY2026 to FY2028  |  Monthly engine  |  Scenario-driven</t>
  </si>
  <si>
    <t>THE BUSINESS IN BRIEF</t>
  </si>
  <si>
    <t>B2B SaaS: workflow analytics for enterprise and mid-market operations teams.</t>
  </si>
  <si>
    <t>Two tiers: Professional (mid-market, monthly billing) and Enterprise (annual upfront).</t>
  </si>
  <si>
    <t>Growth: steady new-logo adds, ~4%/yr pricing, expansion-led NRR above 100% in Enterprise.</t>
  </si>
  <si>
    <t>Plan: ARR ~$4m to ~$15m, EBITDA margin ~-65% to ~-16%, funded by an $18m Series B.</t>
  </si>
  <si>
    <t>Full narrative and reading guide on the Instructions sheet.</t>
  </si>
  <si>
    <t>CONTENTS</t>
  </si>
  <si>
    <t>Instructions</t>
  </si>
  <si>
    <t>How the model works, colour legend, checks panel, V2 roadmap</t>
  </si>
  <si>
    <t>Assumptions</t>
  </si>
  <si>
    <t>All static inputs: pricing, cost drivers, headcount plan, tax and cash</t>
  </si>
  <si>
    <t>Scenario Manager</t>
  </si>
  <si>
    <t>Base / Optimistic / Downside levers and the live scenario control</t>
  </si>
  <si>
    <t>Revenue Model</t>
  </si>
  <si>
    <t>Customer and MRR roll-forwards, ARR waterfall, billings and deferred revenue</t>
  </si>
  <si>
    <t>Headcount</t>
  </si>
  <si>
    <t>Hiring plan, headcount and fully loaded payroll by department</t>
  </si>
  <si>
    <t>Operating Expenses</t>
  </si>
  <si>
    <t>COGS, S&amp;M, R&amp;D and G&amp;A build; capex placeholder and depreciation</t>
  </si>
  <si>
    <t>Income Statement</t>
  </si>
  <si>
    <t>Monthly P&amp;L with NOL-adjusted tax and FY2026 to FY2028 rollups</t>
  </si>
  <si>
    <t>Cash Flow</t>
  </si>
  <si>
    <t>Indirect cash flow, cash roll-forward, burn and runway</t>
  </si>
  <si>
    <t>KPI Dashboard</t>
  </si>
  <si>
    <t>Executive cards, SaaS efficiency metrics and charts</t>
  </si>
  <si>
    <t>MODEL CONTROL</t>
  </si>
  <si>
    <t>Version</t>
  </si>
  <si>
    <t>Prepared by</t>
  </si>
  <si>
    <t>Last updated</t>
  </si>
  <si>
    <t>Active scenario</t>
  </si>
  <si>
    <t>Confidential. Prepared for portfolio demonstration; all figures are illustrative.</t>
  </si>
  <si>
    <t>back to cover</t>
  </si>
  <si>
    <t>Instructions and Model Guide</t>
  </si>
  <si>
    <t>read this sheet first</t>
  </si>
  <si>
    <t>1. THE BUSINESS</t>
  </si>
  <si>
    <t>NovaFlow Analytics sells workflow-analytics software to operations and finance teams that run</t>
  </si>
  <si>
    <t>high-volume digital processes (claims, onboarding, order-to-cash). The platform ingests event</t>
  </si>
  <si>
    <t>logs from CRM, ERP and ticketing systems and surfaces bottlenecks, SLA breaches and automation</t>
  </si>
  <si>
    <t>candidates. Founded 2022; Series B closed Nov-2025 ($18m cash into the plan).</t>
  </si>
  <si>
    <t>Two tiers map to two segments. Professional (mid-market, 200 to 2,000 employees) is billed</t>
  </si>
  <si>
    <t>monthly at circa $850 per month, sold through an inside-sales motion with short cycles and</t>
  </si>
  <si>
    <t>higher logo churn. Enterprise is billed annually upfront at circa $4,500 per month, sold</t>
  </si>
  <si>
    <t>field-led with security review, lower churn and stronger seat and module expansion. Pricing</t>
  </si>
  <si>
    <t>rises circa 4% per year, applied progressively as contracts renew, and expansion (seats,</t>
  </si>
  <si>
    <t>usage, add-on modules) is the engine behind net revenue retention above 100% in Enterprise.</t>
  </si>
  <si>
    <t>Go-to-market: mid-market volume drives logo growth and feeds the Enterprise pipeline;</t>
  </si>
  <si>
    <t>Customer Success drives expansion; marketing programmes support a mid-teens ACV inbound</t>
  </si>
  <si>
    <t>funnel. The three-year plan holds new-logo adds steady per month while ARPU and expansion</t>
  </si>
  <si>
    <t>compound, taking ARR from circa $4m to circa $15m and EBITDA margin from circa -65% toward</t>
  </si>
  <si>
    <t>the high minus-teens as the cost base is leveraged. The Series B is sized to fund the plan with</t>
  </si>
  <si>
    <t>comfortable runway in the Base case.</t>
  </si>
  <si>
    <t>2. HOW THE MODEL CALCULATES</t>
  </si>
  <si>
    <t>Scenario Manager  &gt;  Assumptions  &gt;  Revenue Model | Headcount | Operating Expenses</t>
  </si>
  <si>
    <t xml:space="preserve">  &gt;  Income Statement  &gt;  Cash Flow  &gt;  KPI Dashboard</t>
  </si>
  <si>
    <t>The dependency spine is strictly one-directional: nothing downstream ever feeds upstream</t>
  </si>
  <si>
    <t>and there are no circular references. Every figure outside the designated input cells is</t>
  </si>
  <si>
    <t>a formula. Lookups use XLOOKUP (single-cell, non-spilling); MATCH remains only as a membership test in the checks panel. The month engine runs Jan-2026 to Dec-2028 with</t>
  </si>
  <si>
    <t>FY rollup columns on the statements and KPI sheets.</t>
  </si>
  <si>
    <t>Scenario mechanism: the control cell on Scenario Manager (dropdown: Base, Optimistic,</t>
  </si>
  <si>
    <t>Downside) drives a Live column via INDEX/MATCH. Downstream sheets reference only the</t>
  </si>
  <si>
    <t>Live column through named ranges, so flipping the dropdown recalculates the whole model.</t>
  </si>
  <si>
    <t>Sign convention: revenue positive; costs positive and subtracted where they land;</t>
  </si>
  <si>
    <t>negatives display in parentheses; zeros display as a dash. Customers and headcount are</t>
  </si>
  <si>
    <t>modelled as continuous quantities (fractional in-month), standard for planning models.</t>
  </si>
  <si>
    <t>Recognised revenue is closing MRR for the month, a stated simplification.</t>
  </si>
  <si>
    <t>3. COLOUR LEGEND</t>
  </si>
  <si>
    <t>Hardcoded input / scenario lever</t>
  </si>
  <si>
    <t>Formula (same sheet)</t>
  </si>
  <si>
    <t>Cross-sheet link</t>
  </si>
  <si>
    <t>Inputs live only on Assumptions and Scenario Manager.</t>
  </si>
  <si>
    <t>4. FONTS AND COMPATIBILITY</t>
  </si>
  <si>
    <t>Headings: Aptos Display SemiBold. Body: Aptos. Dashboard titles: Bahnschrift SemiBold.</t>
  </si>
  <si>
    <t>Numbers: Aptos Narrow. On Excel versions without Aptos or Bahnschrift, substitute Arial</t>
  </si>
  <si>
    <t>and Arial Narrow; no layout or formula behaviour depends on the fonts.</t>
  </si>
  <si>
    <t>5. VERSION 2 ROADMAP</t>
  </si>
  <si>
    <t>Balance Sheet (three-statement close), Working Capital (DSO/DPO and full deferred</t>
  </si>
  <si>
    <t>revenue balance), Capex and fixed asset schedule (replaces the capex placeholder and</t>
  </si>
  <si>
    <t>straight-line depreciation), Debt schedule and financing section in the Cash Flow.</t>
  </si>
  <si>
    <t>The Cash Flow already carries labelled placeholder lines so V2 bolts on without rework.</t>
  </si>
  <si>
    <t>6. CHECKS PANEL (all must read OK)</t>
  </si>
  <si>
    <t>Check</t>
  </si>
  <si>
    <t>Value</t>
  </si>
  <si>
    <t>Status</t>
  </si>
  <si>
    <t>Scenario control is a valid scenario</t>
  </si>
  <si>
    <t>Income Statement revenue ties to Revenue Model</t>
  </si>
  <si>
    <t>OpEx payroll ties to Headcount fully loaded cost</t>
  </si>
  <si>
    <t>Closing cash ties to opening cash plus cumulative FCF</t>
  </si>
  <si>
    <t>ARR waterfall closing ties to MRR x 12</t>
  </si>
  <si>
    <t>Tax charge never negative (NOL logic)</t>
  </si>
  <si>
    <t>all static inputs; blue cells are editable</t>
  </si>
  <si>
    <t>MODEL SETTINGS</t>
  </si>
  <si>
    <t>Model start month</t>
  </si>
  <si>
    <t>date</t>
  </si>
  <si>
    <t>Month headers roll forward from this cell via EDATE.</t>
  </si>
  <si>
    <t>Projection horizon</t>
  </si>
  <si>
    <t>months</t>
  </si>
  <si>
    <t>CUSTOMER BASE AND PRICING AT DEC-2025</t>
  </si>
  <si>
    <t>Enterprise customers</t>
  </si>
  <si>
    <t>#</t>
  </si>
  <si>
    <t>Series B scale: ~$4.0m ARR across 220 logos.</t>
  </si>
  <si>
    <t>Mid-market customers</t>
  </si>
  <si>
    <t>Enterprise starting ARPU</t>
  </si>
  <si>
    <t>$/mo</t>
  </si>
  <si>
    <t>~$54k ACV, annual upfront billing.</t>
  </si>
  <si>
    <t>Mid-market starting ARPU</t>
  </si>
  <si>
    <t>~$10k ACV, monthly billing.</t>
  </si>
  <si>
    <t>COST DRIVERS</t>
  </si>
  <si>
    <t>Hosting and infrastructure</t>
  </si>
  <si>
    <t>% rev</t>
  </si>
  <si>
    <t>Cloud plus data pipeline; scales with usage.</t>
  </si>
  <si>
    <t>Customer Success allocated to COGS</t>
  </si>
  <si>
    <t>%</t>
  </si>
  <si>
    <t>Support share of CS; remainder sits in S&amp;M.</t>
  </si>
  <si>
    <t>Software and tools per head</t>
  </si>
  <si>
    <t>Rent and facilities per head</t>
  </si>
  <si>
    <t>Facilities held in G&amp;A (company-wide).</t>
  </si>
  <si>
    <t>Travel</t>
  </si>
  <si>
    <t>% payroll</t>
  </si>
  <si>
    <t>Applied to S&amp;M payroll; half-rate for R&amp;D and G&amp;A.</t>
  </si>
  <si>
    <t>Professional fees</t>
  </si>
  <si>
    <t>Audit, legal, recruitment.</t>
  </si>
  <si>
    <t>Professional fees growth</t>
  </si>
  <si>
    <t>%/yr</t>
  </si>
  <si>
    <t>Marketing programme growth</t>
  </si>
  <si>
    <t>Applied to the scenario marketing spend from FY2027.</t>
  </si>
  <si>
    <t>PEOPLE COSTS</t>
  </si>
  <si>
    <t>Bonus</t>
  </si>
  <si>
    <t>% base</t>
  </si>
  <si>
    <t>Benefits</t>
  </si>
  <si>
    <t>Employer payroll taxes</t>
  </si>
  <si>
    <t>Fully loaded factor</t>
  </si>
  <si>
    <t>x</t>
  </si>
  <si>
    <t>Formula: base x (1+bonus) x (1+benefits+payroll taxes).</t>
  </si>
  <si>
    <t>CAPITAL, TAX AND CASH</t>
  </si>
  <si>
    <t>Capex placeholder</t>
  </si>
  <si>
    <t>V1 placeholder; replaced by the V2 capex schedule.</t>
  </si>
  <si>
    <t>Depreciation life</t>
  </si>
  <si>
    <t>Straight line.</t>
  </si>
  <si>
    <t>Corporation tax rate</t>
  </si>
  <si>
    <t>Applied to cumulative pre-tax income (NOL carryforward).</t>
  </si>
  <si>
    <t>Opening cash, Jan-2026</t>
  </si>
  <si>
    <t>$</t>
  </si>
  <si>
    <t>Series B closed Nov-2025.</t>
  </si>
  <si>
    <t>Opening deferred revenue</t>
  </si>
  <si>
    <t>Memo only in V1; the Cash Flow uses the monthly movement.</t>
  </si>
  <si>
    <t>HEADCOUNT PLAN</t>
  </si>
  <si>
    <t>Annual hires spread evenly across the year; the Scenario hiring pace multiplier scales them.</t>
  </si>
  <si>
    <t>Department</t>
  </si>
  <si>
    <t>Start HC</t>
  </si>
  <si>
    <t>Base salary</t>
  </si>
  <si>
    <t>Engineering</t>
  </si>
  <si>
    <t>Product</t>
  </si>
  <si>
    <t>Sales</t>
  </si>
  <si>
    <t>Marketing</t>
  </si>
  <si>
    <t>Customer Success</t>
  </si>
  <si>
    <t>G&amp;A</t>
  </si>
  <si>
    <t>All other figures in this workbook are formulas.</t>
  </si>
  <si>
    <t>one control cell drives the entire model</t>
  </si>
  <si>
    <t>SCENARIO SELECTOR</t>
  </si>
  <si>
    <t>Choose the active case:</t>
  </si>
  <si>
    <t>Base</t>
  </si>
  <si>
    <t>&lt;- data-validation dropdown; every downstream formula reads the Live column</t>
  </si>
  <si>
    <t>Lever</t>
  </si>
  <si>
    <t>Unit</t>
  </si>
  <si>
    <t>Optimistic</t>
  </si>
  <si>
    <t>Downside</t>
  </si>
  <si>
    <t>Live</t>
  </si>
  <si>
    <t>Commercial logic</t>
  </si>
  <si>
    <t>New enterprise customers</t>
  </si>
  <si>
    <t>/mo</t>
  </si>
  <si>
    <t>Field sales capacity; ~$54k ACV each.</t>
  </si>
  <si>
    <t>New mid-market customers</t>
  </si>
  <si>
    <t>Inside-sales volume engine; feeds Enterprise pipeline.</t>
  </si>
  <si>
    <t>Enterprise MRR churn</t>
  </si>
  <si>
    <t>%/mo</t>
  </si>
  <si>
    <t>Annual contracts and security-led lock-in keep churn low.</t>
  </si>
  <si>
    <t>Mid-market MRR churn</t>
  </si>
  <si>
    <t>Monthly billing and lighter onboarding mean higher churn.</t>
  </si>
  <si>
    <t>Enterprise expansion</t>
  </si>
  <si>
    <t>Seats, usage and modules; the NRR engine.</t>
  </si>
  <si>
    <t>Mid-market expansion</t>
  </si>
  <si>
    <t>Smaller accounts expand less.</t>
  </si>
  <si>
    <t>Annual price increase</t>
  </si>
  <si>
    <t>Applied progressively via monthly ARPU compounding.</t>
  </si>
  <si>
    <t>Hiring pace multiplier</t>
  </si>
  <si>
    <t>Scales the annual hiring plan on Assumptions.</t>
  </si>
  <si>
    <t>Marketing programmes, FY2026</t>
  </si>
  <si>
    <t>Grows at the marketing growth rate from FY2027.</t>
  </si>
  <si>
    <t>Salary inflation</t>
  </si>
  <si>
    <t>Applied each January to all salary bands.</t>
  </si>
  <si>
    <t>CASE NARRATIVES</t>
  </si>
  <si>
    <t>Plan of record: steady logo adds, 4% pricing, Enterprise NRR ~106% with blended NRR approaching 100% as the Enterprise mix builds, hiring to plan.</t>
  </si>
  <si>
    <t>Pipeline conversion improves, pricing power holds at 6%, hiring accelerates 15% to meet demand.</t>
  </si>
  <si>
    <t>Demand softens: fewer adds, higher churn, 2% pricing; hiring cut to 75% and marketing trimmed.</t>
  </si>
  <si>
    <t>customer and MRR roll-forwards, ARR waterfall, billings</t>
  </si>
  <si>
    <t>Month</t>
  </si>
  <si>
    <t>ENTERPRISE SEGMENT  |  Enterprise tier, annual upfront billing</t>
  </si>
  <si>
    <t>Opening customers</t>
  </si>
  <si>
    <t>New customers</t>
  </si>
  <si>
    <t>Churned customers</t>
  </si>
  <si>
    <t>Closing customers</t>
  </si>
  <si>
    <t>ARPU</t>
  </si>
  <si>
    <t>Opening MRR</t>
  </si>
  <si>
    <t>New business MRR</t>
  </si>
  <si>
    <t>Expansion MRR</t>
  </si>
  <si>
    <t>Churned MRR</t>
  </si>
  <si>
    <t>Closing MRR</t>
  </si>
  <si>
    <t>MID-MARKET SEGMENT  |  Professional tier, monthly billing</t>
  </si>
  <si>
    <t>TOTAL AND RECOGNISED REVENUE</t>
  </si>
  <si>
    <t>Total MRR</t>
  </si>
  <si>
    <t>Total ARR</t>
  </si>
  <si>
    <t>Recognised revenue</t>
  </si>
  <si>
    <t>of which Enterprise tier</t>
  </si>
  <si>
    <t>of which Professional tier</t>
  </si>
  <si>
    <t>ARR GROWTH WATERFALL</t>
  </si>
  <si>
    <t>Opening ARR</t>
  </si>
  <si>
    <t>New business ARR</t>
  </si>
  <si>
    <t>Expansion ARR</t>
  </si>
  <si>
    <t>Churned ARR</t>
  </si>
  <si>
    <t>Closing ARR</t>
  </si>
  <si>
    <t>BILLINGS AND DEFERRED REVENUE  |  feeds the Cash Flow</t>
  </si>
  <si>
    <t>Mid-market billings (monthly)</t>
  </si>
  <si>
    <t>Enterprise billings (annual upfront)</t>
  </si>
  <si>
    <t>Total billings</t>
  </si>
  <si>
    <t>Movement in deferred revenue</t>
  </si>
  <si>
    <t>Enterprise billings = new ARR invoiced upfront at signing, plus 1/12 of the surviving and expanded base renewing each month (expansion co-terms and is billed from the next renewal). Mid-market bills monthly, so billings equal recognised revenue.</t>
  </si>
  <si>
    <t>Headcount and Payroll</t>
  </si>
  <si>
    <t>hiring plan, headcount and fully loaded cost by department</t>
  </si>
  <si>
    <t>HIRES PER MONTH  |  annual plan / 12 x scenario hiring pace</t>
  </si>
  <si>
    <t>HEADCOUNT  |  end of month</t>
  </si>
  <si>
    <t>Total headcount</t>
  </si>
  <si>
    <t>SALARY INFLATION</t>
  </si>
  <si>
    <t>Salary index (applied each January)</t>
  </si>
  <si>
    <t>FULLY LOADED COST PER MONTH  |  base x inflation x loaded factor</t>
  </si>
  <si>
    <t>Total fully loaded payroll</t>
  </si>
  <si>
    <t>Feeds the payroll lines on Operating Expenses by formula. Customer Success is split between COGS (support) and S&amp;M on the Operating Expenses sheet.</t>
  </si>
  <si>
    <t>COGS, S&amp;M, R&amp;D, G&amp;A; capex placeholder and depreciation</t>
  </si>
  <si>
    <t>COST OF GOODS SOLD</t>
  </si>
  <si>
    <t>Support payroll (CS share)</t>
  </si>
  <si>
    <t>Total COGS</t>
  </si>
  <si>
    <t>SALES AND MARKETING</t>
  </si>
  <si>
    <t>Payroll (Sales, Marketing, CS share)</t>
  </si>
  <si>
    <t>Marketing programmes</t>
  </si>
  <si>
    <t>Travel and entertainment</t>
  </si>
  <si>
    <t>Software and tools</t>
  </si>
  <si>
    <t>Total S&amp;M</t>
  </si>
  <si>
    <t>RESEARCH AND DEVELOPMENT</t>
  </si>
  <si>
    <t>Payroll (Engineering, Product)</t>
  </si>
  <si>
    <t>Travel (half rate)</t>
  </si>
  <si>
    <t>Total R&amp;D</t>
  </si>
  <si>
    <t>GENERAL AND ADMINISTRATIVE</t>
  </si>
  <si>
    <t>Payroll (G&amp;A)</t>
  </si>
  <si>
    <t>Rent and facilities (all heads)</t>
  </si>
  <si>
    <t>Total G&amp;A</t>
  </si>
  <si>
    <t>Total operating expenses (S&amp;M + R&amp;D + G&amp;A)</t>
  </si>
  <si>
    <t>CAPEX PLACEHOLDER AND DEPRECIATION  |  V2 replaces with a full schedule</t>
  </si>
  <si>
    <t>Capex</t>
  </si>
  <si>
    <t>Depreciation and amortisation</t>
  </si>
  <si>
    <t>Depreciation is straight line over the asset life on cumulative capex to date; within the 36-month horizon no cohort fully depreciates.</t>
  </si>
  <si>
    <t>monthly P&amp;L with NOL-adjusted tax and FY rollups</t>
  </si>
  <si>
    <t>FY2026</t>
  </si>
  <si>
    <t>FY2027</t>
  </si>
  <si>
    <t>FY2028</t>
  </si>
  <si>
    <t>Revenue</t>
  </si>
  <si>
    <t>Cost of goods sold</t>
  </si>
  <si>
    <t>Gross profit</t>
  </si>
  <si>
    <t>Gross margin</t>
  </si>
  <si>
    <t>Sales and marketing</t>
  </si>
  <si>
    <t>Research and development</t>
  </si>
  <si>
    <t>General and administrative</t>
  </si>
  <si>
    <t>Total operating expenses</t>
  </si>
  <si>
    <t>EBITDA</t>
  </si>
  <si>
    <t>EBITDA margin</t>
  </si>
  <si>
    <t>EBIT</t>
  </si>
  <si>
    <t>Pre-tax income (no debt in V1)</t>
  </si>
  <si>
    <t>memo: cumulative pre-tax income</t>
  </si>
  <si>
    <t>memo: cumulative tax at statutory rate</t>
  </si>
  <si>
    <t>Tax charge (NOL carryforward applied)</t>
  </si>
  <si>
    <t>Net income</t>
  </si>
  <si>
    <t>Net margin</t>
  </si>
  <si>
    <t>Tax: no charge until cumulative pre-tax income turns positive; early losses shelter later profits (simple NOL carryforward, no deferred tax asset in V1).</t>
  </si>
  <si>
    <t>indirect method; structured for V2 working capital and financing</t>
  </si>
  <si>
    <t>OPERATING CASH FLOW</t>
  </si>
  <si>
    <t>Add back: depreciation and amortisation</t>
  </si>
  <si>
    <t>Working capital movements (V2 bolt-on)</t>
  </si>
  <si>
    <t>Operating cash flow</t>
  </si>
  <si>
    <t>INVESTING AND FINANCING</t>
  </si>
  <si>
    <t>Capex (placeholder)</t>
  </si>
  <si>
    <t>Financing: debt and equity (V2 bolt-on)</t>
  </si>
  <si>
    <t>Free cash flow</t>
  </si>
  <si>
    <t>CASH POSITION</t>
  </si>
  <si>
    <t>Opening cash</t>
  </si>
  <si>
    <t>Closing cash</t>
  </si>
  <si>
    <t>LIQUIDITY MEMO</t>
  </si>
  <si>
    <t>Monthly burn</t>
  </si>
  <si>
    <t>Average burn, trailing 3 months</t>
  </si>
  <si>
    <t>Runway (months of trailing burn)</t>
  </si>
  <si>
    <t>mo</t>
  </si>
  <si>
    <t>Runway divides closing cash by trailing three-month average burn and reads n/a once free cash flow is positive (denominator guarded).</t>
  </si>
  <si>
    <t>Executive KPI Dashboard</t>
  </si>
  <si>
    <t>FY2026 to FY2028 plan | flip the scenario and watch it update</t>
  </si>
  <si>
    <t>ACTIVE SCENARIO</t>
  </si>
  <si>
    <t>change on Scenario Manager</t>
  </si>
  <si>
    <t>ARR</t>
  </si>
  <si>
    <t>MRR</t>
  </si>
  <si>
    <t>REVENUE GROWTH</t>
  </si>
  <si>
    <t>GROSS MARGIN</t>
  </si>
  <si>
    <t>EBITDA MARGIN</t>
  </si>
  <si>
    <t>NET INCOME</t>
  </si>
  <si>
    <t>Dec-28 exit</t>
  </si>
  <si>
    <t>FY28 vs FY27</t>
  </si>
  <si>
    <t>FREE CASH FLOW</t>
  </si>
  <si>
    <t>CASH BALANCE</t>
  </si>
  <si>
    <t>MONTHLY BURN</t>
  </si>
  <si>
    <t>RUNWAY</t>
  </si>
  <si>
    <t>HEADCOUNT</t>
  </si>
  <si>
    <t>RULE OF 40</t>
  </si>
  <si>
    <t>trailing 3-month average</t>
  </si>
  <si>
    <t>red below 12 months</t>
  </si>
  <si>
    <t>Dec-28</t>
  </si>
  <si>
    <t>FY28 growth + EBITDA margin</t>
  </si>
  <si>
    <t>SAAS EFFICIENCY</t>
  </si>
  <si>
    <t>NET REVENUE RETENTION</t>
  </si>
  <si>
    <t>GROSS REVENUE RETENTION</t>
  </si>
  <si>
    <t>CAC</t>
  </si>
  <si>
    <t>LTV</t>
  </si>
  <si>
    <t>LTV / CAC</t>
  </si>
  <si>
    <t>CAC PAYBACK</t>
  </si>
  <si>
    <t>MAGIC NUMBER</t>
  </si>
  <si>
    <t>Dec-28, annualised</t>
  </si>
  <si>
    <t>blended, trailing 3 months</t>
  </si>
  <si>
    <t>GM x ARPU / churn</t>
  </si>
  <si>
    <t>target above 3x</t>
  </si>
  <si>
    <t>months of gross profit</t>
  </si>
  <si>
    <t>net new ARR / prior qtr S&amp;M</t>
  </si>
  <si>
    <t>TRAJECTORY</t>
  </si>
  <si>
    <t>COMPOSITION</t>
  </si>
  <si>
    <t>KPI DETAIL BY MONTH</t>
  </si>
  <si>
    <t>monthly engine behind the cards and charts; FY columns roll up on the right</t>
  </si>
  <si>
    <t>Net new ARR</t>
  </si>
  <si>
    <t>Revenue growth, year on year</t>
  </si>
  <si>
    <t>Net revenue retention (annualised)</t>
  </si>
  <si>
    <t>Gross revenue retention (annualised)</t>
  </si>
  <si>
    <t>S&amp;M spend</t>
  </si>
  <si>
    <t>CAC, blended (trailing 3 months)</t>
  </si>
  <si>
    <t>Blended ARPU</t>
  </si>
  <si>
    <t>Blended MRR churn</t>
  </si>
  <si>
    <t>LTV (GM-adjusted)</t>
  </si>
  <si>
    <t>CAC payback</t>
  </si>
  <si>
    <t>Magic number</t>
  </si>
  <si>
    <t>Rule of 40 (YoY growth + EBITDA margin)</t>
  </si>
  <si>
    <t>Runway</t>
  </si>
  <si>
    <t>Headcount by department (chart source)</t>
  </si>
  <si>
    <t>ARR bridge helper (chart source), Jan-26 to Dec-28</t>
  </si>
  <si>
    <t>New business</t>
  </si>
  <si>
    <t>Expansion</t>
  </si>
  <si>
    <t>Churn</t>
  </si>
  <si>
    <t>base (invisible)</t>
  </si>
  <si>
    <t>opening / closing</t>
  </si>
  <si>
    <t>increase</t>
  </si>
  <si>
    <t>decrease</t>
  </si>
  <si>
    <t>zero line (chart 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</si>
</sst>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;\(#,##0\);\-"/>
    <numFmt numFmtId="165" formatCode="dd\ mmm\ yyyy"/>
    <numFmt numFmtId="166" formatCode="\$#,##0;&quot;($&quot;#,##0\);\-"/>
    <numFmt numFmtId="167" formatCode="0.0%;\(0.0%\);\-"/>
    <numFmt numFmtId="168" formatCode="0.00\x"/>
    <numFmt numFmtId="169" formatCode="#,##0.0;\(#,##0.0\);\-"/>
    <numFmt numFmtId="170" formatCode="0.000"/>
    <numFmt numFmtId="171" formatCode="0.0"/>
    <numFmt numFmtId="172" formatCode="\$#,##0.0,,\m"/>
    <numFmt numFmtId="173" formatCode="\$#,##0,\k"/>
    <numFmt numFmtId="174" formatCode="\$#,##0.0,,\m;&quot;($&quot;#,##0.0,,&quot;m)&quot;"/>
    <numFmt numFmtId="175" formatCode="0.0&quot; mo&quot;"/>
    <numFmt numFmtId="176" formatCode="\$#,##0"/>
    <numFmt numFmtId="177" formatCode="0.0\x;\(0.0&quot;x)&quot;;\-"/>
  </numFmts>
  <fonts count="30" x14ac:knownFonts="1">
    <font>
      <sz val="11"/>
      <color theme="1"/>
      <name val="Calibri"/>
      <family val="2"/>
      <charset val="1"/>
    </font>
    <font>
      <b/>
      <sz val="30"/>
      <color rgb="FF203040"/>
      <name val="Aptos Display"/>
      <charset val="1"/>
    </font>
    <font>
      <sz val="13"/>
      <color rgb="FF6F8FAF"/>
      <name val="Aptos Display"/>
      <charset val="1"/>
    </font>
    <font>
      <i/>
      <sz val="10"/>
      <color rgb="FF8A94A0"/>
      <name val="Aptos"/>
      <charset val="1"/>
    </font>
    <font>
      <sz val="13"/>
      <color rgb="FF203040"/>
      <name val="Bahnschrift SemiBold"/>
      <charset val="1"/>
    </font>
    <font>
      <sz val="10"/>
      <color rgb="FF24303C"/>
      <name val="Aptos"/>
      <charset val="1"/>
    </font>
    <font>
      <b/>
      <sz val="10"/>
      <color rgb="FFC49A6C"/>
      <name val="Aptos"/>
      <charset val="1"/>
    </font>
    <font>
      <sz val="9"/>
      <color rgb="FF8A94A0"/>
      <name val="Aptos"/>
      <charset val="1"/>
    </font>
    <font>
      <b/>
      <sz val="10"/>
      <color rgb="FF2E7D4F"/>
      <name val="Aptos Narrow"/>
      <charset val="1"/>
    </font>
    <font>
      <i/>
      <sz val="9"/>
      <color rgb="FF8A94A0"/>
      <name val="Aptos"/>
      <charset val="1"/>
    </font>
    <font>
      <b/>
      <sz val="9"/>
      <color rgb="FFC49A6C"/>
      <name val="Aptos Display"/>
      <charset val="1"/>
    </font>
    <font>
      <sz val="8"/>
      <color rgb="FFB9C4CF"/>
      <name val="Aptos"/>
      <charset val="1"/>
    </font>
    <font>
      <b/>
      <sz val="15"/>
      <color rgb="FFFFFFFF"/>
      <name val="Aptos Display"/>
      <charset val="1"/>
    </font>
    <font>
      <i/>
      <sz val="9"/>
      <color rgb="FFB9C4CF"/>
      <name val="Aptos"/>
      <charset val="1"/>
    </font>
    <font>
      <sz val="10"/>
      <color rgb="FF2050C8"/>
      <name val="Aptos Narrow"/>
      <charset val="1"/>
    </font>
    <font>
      <sz val="10"/>
      <color rgb="FF141414"/>
      <name val="Aptos Narrow"/>
      <charset val="1"/>
    </font>
    <font>
      <sz val="10"/>
      <color rgb="FF2E7D4F"/>
      <name val="Aptos Narrow"/>
      <charset val="1"/>
    </font>
    <font>
      <b/>
      <sz val="10"/>
      <color rgb="FF24303C"/>
      <name val="Aptos"/>
      <charset val="1"/>
    </font>
    <font>
      <b/>
      <sz val="10"/>
      <color rgb="FF24303C"/>
      <name val="Aptos Narrow"/>
      <charset val="1"/>
    </font>
    <font>
      <b/>
      <sz val="10"/>
      <color rgb="FF203040"/>
      <name val="Aptos Display"/>
      <charset val="1"/>
    </font>
    <font>
      <b/>
      <sz val="12"/>
      <color rgb="FF2050C8"/>
      <name val="Aptos Narrow"/>
      <charset val="1"/>
    </font>
    <font>
      <b/>
      <sz val="10"/>
      <color rgb="FF141414"/>
      <name val="Aptos Narrow"/>
      <charset val="1"/>
    </font>
    <font>
      <b/>
      <sz val="9"/>
      <color rgb="FF6F8FAF"/>
      <name val="Aptos"/>
      <charset val="1"/>
    </font>
    <font>
      <b/>
      <sz val="10"/>
      <color rgb="FF203040"/>
      <name val="Aptos Narrow"/>
      <charset val="1"/>
    </font>
    <font>
      <b/>
      <sz val="8.5"/>
      <color rgb="FFC49A6C"/>
      <name val="Aptos"/>
      <charset val="1"/>
    </font>
    <font>
      <b/>
      <sz val="8"/>
      <color rgb="FF8A94A0"/>
      <name val="Aptos"/>
      <charset val="1"/>
    </font>
    <font>
      <sz val="12"/>
      <color rgb="FFFFFFFF"/>
      <name val="Bahnschrift SemiBold"/>
      <charset val="1"/>
    </font>
    <font>
      <i/>
      <sz val="8.5"/>
      <color rgb="FF6F8FAF"/>
      <name val="Aptos"/>
      <charset val="1"/>
    </font>
    <font>
      <b/>
      <sz val="18"/>
      <color rgb="FF203040"/>
      <name val="Aptos Narrow"/>
      <charset val="1"/>
    </font>
    <font>
      <sz val="7.5"/>
      <color rgb="FF8A94A0"/>
      <name val="Aptos"/>
      <charset val="1"/>
    </font>
  </fonts>
  <fills count="8">
    <fill>
      <patternFill patternType="none"/>
    </fill>
    <fill>
      <patternFill patternType="gray125"/>
    </fill>
    <fill>
      <patternFill patternType="solid">
        <fgColor rgb="FFF7F6F3"/>
        <bgColor rgb="FFFBF5EA"/>
      </patternFill>
    </fill>
    <fill>
      <patternFill patternType="solid">
        <fgColor rgb="FF203040"/>
        <bgColor rgb="FF24303C"/>
      </patternFill>
    </fill>
    <fill>
      <patternFill patternType="solid">
        <fgColor rgb="FFFBF5EA"/>
        <bgColor rgb="FFF7F6F3"/>
      </patternFill>
    </fill>
    <fill>
      <patternFill patternType="solid">
        <fgColor rgb="FFE9EDF2"/>
        <bgColor rgb="FFF1EDE6"/>
      </patternFill>
    </fill>
    <fill>
      <patternFill patternType="solid">
        <fgColor rgb="FFF1EDE6"/>
        <bgColor rgb="FFE9EDF2"/>
      </patternFill>
    </fill>
    <fill>
      <patternFill patternType="solid">
        <fgColor rgb="FFFFFFFF"/>
        <bgColor rgb="FFF7F6F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49A6C"/>
      </bottom>
      <diagonal/>
    </border>
    <border>
      <left/>
      <right/>
      <top/>
      <bottom style="thin">
        <color rgb="FF6F8FAF"/>
      </bottom>
      <diagonal/>
    </border>
    <border>
      <left style="thin">
        <color rgb="FFC49A6C"/>
      </left>
      <right style="thin">
        <color rgb="FFC49A6C"/>
      </right>
      <top style="thin">
        <color rgb="FFC49A6C"/>
      </top>
      <bottom style="thin">
        <color rgb="FFC49A6C"/>
      </bottom>
      <diagonal/>
    </border>
    <border>
      <left/>
      <right/>
      <top style="thin">
        <color rgb="FF203040"/>
      </top>
      <bottom/>
      <diagonal/>
    </border>
    <border>
      <left/>
      <right/>
      <top style="medium">
        <color rgb="FFC49A6C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0" fillId="2" borderId="1" xfId="0" applyFill="1" applyBorder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164" fontId="8" fillId="2" borderId="0" xfId="0" applyNumberFormat="1" applyFont="1" applyFill="1"/>
    <xf numFmtId="165" fontId="8" fillId="2" borderId="0" xfId="0" applyNumberFormat="1" applyFont="1" applyFill="1"/>
    <xf numFmtId="0" fontId="9" fillId="2" borderId="0" xfId="0" applyFont="1" applyFill="1"/>
    <xf numFmtId="0" fontId="10" fillId="3" borderId="0" xfId="0" applyFont="1" applyFill="1"/>
    <xf numFmtId="0" fontId="0" fillId="3" borderId="0" xfId="0" applyFill="1"/>
    <xf numFmtId="0" fontId="11" fillId="3" borderId="0" xfId="0" applyFont="1" applyFill="1"/>
    <xf numFmtId="0" fontId="12" fillId="3" borderId="0" xfId="0" applyFont="1" applyFill="1"/>
    <xf numFmtId="0" fontId="13" fillId="3" borderId="0" xfId="0" applyFont="1" applyFill="1"/>
    <xf numFmtId="0" fontId="0" fillId="0" borderId="1" xfId="0" applyBorder="1"/>
    <xf numFmtId="0" fontId="4" fillId="0" borderId="0" xfId="0" applyFont="1"/>
    <xf numFmtId="0" fontId="5" fillId="0" borderId="0" xfId="0" applyFont="1"/>
    <xf numFmtId="164" fontId="14" fillId="4" borderId="0" xfId="0" applyNumberFormat="1" applyFont="1" applyFill="1"/>
    <xf numFmtId="164" fontId="15" fillId="0" borderId="0" xfId="0" applyNumberFormat="1" applyFont="1"/>
    <xf numFmtId="0" fontId="16" fillId="0" borderId="0" xfId="0" applyFont="1"/>
    <xf numFmtId="0" fontId="9" fillId="0" borderId="0" xfId="0" applyFont="1"/>
    <xf numFmtId="0" fontId="17" fillId="0" borderId="2" xfId="0" applyFont="1" applyBorder="1"/>
    <xf numFmtId="0" fontId="0" fillId="0" borderId="2" xfId="0" applyBorder="1"/>
    <xf numFmtId="0" fontId="17" fillId="0" borderId="2" xfId="0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6" fontId="16" fillId="0" borderId="0" xfId="0" applyNumberFormat="1" applyFont="1" applyAlignment="1">
      <alignment horizontal="center"/>
    </xf>
    <xf numFmtId="0" fontId="19" fillId="5" borderId="2" xfId="0" applyFont="1" applyFill="1" applyBorder="1"/>
    <xf numFmtId="0" fontId="0" fillId="5" borderId="2" xfId="0" applyFill="1" applyBorder="1"/>
    <xf numFmtId="0" fontId="5" fillId="0" borderId="0" xfId="0" applyFont="1" applyAlignment="1">
      <alignment indent="1"/>
    </xf>
    <xf numFmtId="0" fontId="7" fillId="0" borderId="0" xfId="0" applyFont="1" applyAlignment="1">
      <alignment horizontal="center"/>
    </xf>
    <xf numFmtId="17" fontId="14" fillId="4" borderId="0" xfId="0" applyNumberFormat="1" applyFont="1" applyFill="1"/>
    <xf numFmtId="166" fontId="14" fillId="4" borderId="0" xfId="0" applyNumberFormat="1" applyFont="1" applyFill="1"/>
    <xf numFmtId="167" fontId="14" fillId="4" borderId="0" xfId="0" applyNumberFormat="1" applyFont="1" applyFill="1"/>
    <xf numFmtId="168" fontId="15" fillId="0" borderId="0" xfId="0" applyNumberFormat="1" applyFont="1"/>
    <xf numFmtId="0" fontId="9" fillId="5" borderId="2" xfId="0" applyFont="1" applyFill="1" applyBorder="1"/>
    <xf numFmtId="0" fontId="17" fillId="0" borderId="2" xfId="0" applyFont="1" applyBorder="1" applyAlignment="1">
      <alignment indent="1"/>
    </xf>
    <xf numFmtId="1" fontId="17" fillId="0" borderId="2" xfId="0" applyNumberFormat="1" applyFont="1" applyBorder="1" applyAlignment="1">
      <alignment horizontal="center"/>
    </xf>
    <xf numFmtId="164" fontId="14" fillId="4" borderId="0" xfId="0" applyNumberFormat="1" applyFont="1" applyFill="1" applyAlignment="1">
      <alignment horizontal="center"/>
    </xf>
    <xf numFmtId="0" fontId="20" fillId="4" borderId="3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69" fontId="14" fillId="4" borderId="0" xfId="0" applyNumberFormat="1" applyFont="1" applyFill="1" applyAlignment="1">
      <alignment horizontal="center"/>
    </xf>
    <xf numFmtId="169" fontId="21" fillId="6" borderId="0" xfId="0" applyNumberFormat="1" applyFont="1" applyFill="1" applyAlignment="1">
      <alignment horizontal="center"/>
    </xf>
    <xf numFmtId="167" fontId="14" fillId="4" borderId="0" xfId="0" applyNumberFormat="1" applyFont="1" applyFill="1" applyAlignment="1">
      <alignment horizontal="center"/>
    </xf>
    <xf numFmtId="167" fontId="21" fillId="6" borderId="0" xfId="0" applyNumberFormat="1" applyFont="1" applyFill="1" applyAlignment="1">
      <alignment horizontal="center"/>
    </xf>
    <xf numFmtId="168" fontId="14" fillId="4" borderId="0" xfId="0" applyNumberFormat="1" applyFont="1" applyFill="1" applyAlignment="1">
      <alignment horizontal="center"/>
    </xf>
    <xf numFmtId="168" fontId="21" fillId="6" borderId="0" xfId="0" applyNumberFormat="1" applyFont="1" applyFill="1" applyAlignment="1">
      <alignment horizontal="center"/>
    </xf>
    <xf numFmtId="166" fontId="14" fillId="4" borderId="0" xfId="0" applyNumberFormat="1" applyFont="1" applyFill="1" applyAlignment="1">
      <alignment horizontal="center"/>
    </xf>
    <xf numFmtId="166" fontId="21" fillId="6" borderId="0" xfId="0" applyNumberFormat="1" applyFont="1" applyFill="1" applyAlignment="1">
      <alignment horizontal="center"/>
    </xf>
    <xf numFmtId="0" fontId="17" fillId="0" borderId="0" xfId="0" applyFont="1" applyAlignment="1">
      <alignment indent="1"/>
    </xf>
    <xf numFmtId="0" fontId="17" fillId="0" borderId="0" xfId="0" applyFont="1"/>
    <xf numFmtId="17" fontId="22" fillId="0" borderId="2" xfId="0" applyNumberFormat="1" applyFont="1" applyBorder="1" applyAlignment="1">
      <alignment horizontal="center"/>
    </xf>
    <xf numFmtId="169" fontId="15" fillId="0" borderId="0" xfId="0" applyNumberFormat="1" applyFont="1"/>
    <xf numFmtId="169" fontId="23" fillId="0" borderId="0" xfId="0" applyNumberFormat="1" applyFont="1"/>
    <xf numFmtId="166" fontId="15" fillId="0" borderId="0" xfId="0" applyNumberFormat="1" applyFont="1"/>
    <xf numFmtId="0" fontId="17" fillId="0" borderId="4" xfId="0" applyFont="1" applyBorder="1" applyAlignment="1">
      <alignment indent="1"/>
    </xf>
    <xf numFmtId="0" fontId="7" fillId="0" borderId="4" xfId="0" applyFont="1" applyBorder="1" applyAlignment="1">
      <alignment horizontal="center"/>
    </xf>
    <xf numFmtId="166" fontId="23" fillId="0" borderId="4" xfId="0" applyNumberFormat="1" applyFont="1" applyBorder="1"/>
    <xf numFmtId="166" fontId="23" fillId="0" borderId="0" xfId="0" applyNumberFormat="1" applyFont="1"/>
    <xf numFmtId="0" fontId="5" fillId="0" borderId="0" xfId="0" applyFont="1" applyAlignment="1">
      <alignment indent="2"/>
    </xf>
    <xf numFmtId="0" fontId="9" fillId="0" borderId="0" xfId="0" applyFont="1" applyAlignment="1">
      <alignment vertical="top" wrapText="1"/>
    </xf>
    <xf numFmtId="169" fontId="23" fillId="0" borderId="4" xfId="0" applyNumberFormat="1" applyFont="1" applyBorder="1"/>
    <xf numFmtId="170" fontId="15" fillId="0" borderId="0" xfId="0" applyNumberFormat="1" applyFont="1"/>
    <xf numFmtId="166" fontId="16" fillId="0" borderId="0" xfId="0" applyNumberFormat="1" applyFont="1"/>
    <xf numFmtId="0" fontId="17" fillId="0" borderId="4" xfId="0" applyFont="1" applyBorder="1"/>
    <xf numFmtId="0" fontId="24" fillId="0" borderId="2" xfId="0" applyFont="1" applyBorder="1" applyAlignment="1">
      <alignment horizontal="center"/>
    </xf>
    <xf numFmtId="167" fontId="15" fillId="0" borderId="0" xfId="0" applyNumberFormat="1" applyFont="1"/>
    <xf numFmtId="166" fontId="9" fillId="0" borderId="0" xfId="0" applyNumberFormat="1" applyFont="1"/>
    <xf numFmtId="0" fontId="9" fillId="0" borderId="0" xfId="0" applyFont="1" applyAlignment="1">
      <alignment indent="1"/>
    </xf>
    <xf numFmtId="171" fontId="15" fillId="0" borderId="0" xfId="0" applyNumberFormat="1" applyFont="1"/>
    <xf numFmtId="0" fontId="25" fillId="2" borderId="0" xfId="0" applyFont="1" applyFill="1"/>
    <xf numFmtId="0" fontId="27" fillId="2" borderId="0" xfId="0" applyFont="1" applyFill="1"/>
    <xf numFmtId="0" fontId="4" fillId="2" borderId="1" xfId="0" applyFont="1" applyFill="1" applyBorder="1"/>
    <xf numFmtId="167" fontId="16" fillId="0" borderId="0" xfId="0" applyNumberFormat="1" applyFont="1"/>
    <xf numFmtId="176" fontId="15" fillId="0" borderId="0" xfId="0" applyNumberFormat="1" applyFont="1"/>
    <xf numFmtId="177" fontId="15" fillId="0" borderId="0" xfId="0" applyNumberFormat="1" applyFont="1"/>
    <xf numFmtId="171" fontId="16" fillId="0" borderId="0" xfId="0" applyNumberFormat="1" applyFont="1"/>
    <xf numFmtId="169" fontId="16" fillId="0" borderId="0" xfId="0" applyNumberFormat="1" applyFont="1"/>
    <xf numFmtId="0" fontId="9" fillId="0" borderId="0" xfId="0" applyFont="1" applyAlignment="1">
      <alignment indent="2"/>
    </xf>
    <xf numFmtId="172" fontId="15" fillId="0" borderId="0" xfId="0" applyNumberFormat="1" applyFont="1"/>
    <xf numFmtId="167" fontId="9" fillId="0" borderId="0" xfId="0" applyNumberFormat="1" applyFont="1"/>
    <xf numFmtId="0" fontId="29" fillId="7" borderId="0" xfId="0" applyFont="1" applyFill="1"/>
    <xf numFmtId="0" fontId="25" fillId="7" borderId="5" xfId="0" applyFont="1" applyFill="1" applyBorder="1"/>
    <xf numFmtId="167" fontId="28" fillId="7" borderId="0" xfId="0" applyNumberFormat="1" applyFont="1" applyFill="1"/>
    <xf numFmtId="176" fontId="28" fillId="7" borderId="0" xfId="0" applyNumberFormat="1" applyFont="1" applyFill="1"/>
    <xf numFmtId="177" fontId="28" fillId="7" borderId="0" xfId="0" applyNumberFormat="1" applyFont="1" applyFill="1"/>
    <xf numFmtId="175" fontId="28" fillId="7" borderId="0" xfId="0" applyNumberFormat="1" applyFont="1" applyFill="1"/>
    <xf numFmtId="168" fontId="28" fillId="7" borderId="0" xfId="0" applyNumberFormat="1" applyFont="1" applyFill="1"/>
    <xf numFmtId="174" fontId="28" fillId="7" borderId="0" xfId="0" applyNumberFormat="1" applyFont="1" applyFill="1"/>
    <xf numFmtId="172" fontId="28" fillId="7" borderId="0" xfId="0" applyNumberFormat="1" applyFont="1" applyFill="1"/>
    <xf numFmtId="173" fontId="28" fillId="7" borderId="0" xfId="0" applyNumberFormat="1" applyFont="1" applyFill="1"/>
    <xf numFmtId="3" fontId="28" fillId="7" borderId="0" xfId="0" applyNumberFormat="1" applyFont="1" applyFill="1"/>
    <xf numFmtId="0" fontId="26" fillId="3" borderId="0" xfId="0" applyFont="1" applyFill="1" applyAlignment="1">
      <alignment horizontal="center"/>
    </xf>
  </cellXfs>
  <cellStyles count="1">
    <cellStyle name="Normal" xfId="0" builtinId="0"/>
  </cellStyles>
  <dxfs count="17">
    <dxf>
      <font>
        <b/>
        <sz val="18"/>
        <color rgb="FFA63A3A"/>
        <name val="Aptos Narrow"/>
        <charset val="1"/>
      </font>
    </dxf>
    <dxf>
      <font>
        <b/>
        <sz val="18"/>
        <color rgb="FFC97A2B"/>
        <name val="Aptos Narrow"/>
        <charset val="1"/>
      </font>
    </dxf>
    <dxf>
      <font>
        <b/>
        <sz val="18"/>
        <color rgb="FF4F7C5A"/>
        <name val="Aptos Narrow"/>
        <charset val="1"/>
      </font>
    </dxf>
    <dxf>
      <font>
        <b/>
        <sz val="18"/>
        <color rgb="FFA63A3A"/>
        <name val="Aptos Narrow"/>
        <charset val="1"/>
      </font>
    </dxf>
    <dxf>
      <font>
        <b/>
        <sz val="18"/>
        <color rgb="FFC97A2B"/>
        <name val="Aptos Narrow"/>
        <charset val="1"/>
      </font>
    </dxf>
    <dxf>
      <font>
        <b/>
        <sz val="18"/>
        <color rgb="FF4F7C5A"/>
        <name val="Aptos Narrow"/>
        <charset val="1"/>
      </font>
    </dxf>
    <dxf>
      <font>
        <b/>
        <sz val="18"/>
        <color rgb="FFA63A3A"/>
        <name val="Aptos Narrow"/>
        <charset val="1"/>
      </font>
    </dxf>
    <dxf>
      <font>
        <b/>
        <sz val="18"/>
        <color rgb="FFC97A2B"/>
        <name val="Aptos Narrow"/>
        <charset val="1"/>
      </font>
    </dxf>
    <dxf>
      <font>
        <b/>
        <sz val="18"/>
        <color rgb="FF4F7C5A"/>
        <name val="Aptos Narrow"/>
        <charset val="1"/>
      </font>
    </dxf>
    <dxf>
      <font>
        <b/>
        <sz val="18"/>
        <color rgb="FF4F7C5A"/>
        <name val="Aptos Narrow"/>
        <charset val="1"/>
      </font>
    </dxf>
    <dxf>
      <font>
        <b/>
        <sz val="18"/>
        <color rgb="FFC97A2B"/>
        <name val="Aptos Narrow"/>
        <charset val="1"/>
      </font>
    </dxf>
    <dxf>
      <font>
        <b/>
        <sz val="18"/>
        <color rgb="FFA63A3A"/>
        <name val="Aptos Narrow"/>
        <charset val="1"/>
      </font>
    </dxf>
    <dxf>
      <font>
        <b/>
        <sz val="18"/>
        <color rgb="FFA63A3A"/>
        <name val="Aptos Narrow"/>
        <charset val="1"/>
      </font>
    </dxf>
    <dxf>
      <font>
        <b/>
        <sz val="18"/>
        <color rgb="FFC97A2B"/>
        <name val="Aptos Narrow"/>
        <charset val="1"/>
      </font>
    </dxf>
    <dxf>
      <font>
        <b/>
        <sz val="18"/>
        <color rgb="FF4F7C5A"/>
        <name val="Aptos Narrow"/>
        <charset val="1"/>
      </font>
    </dxf>
    <dxf>
      <font>
        <b/>
        <color rgb="FFFFFFFF"/>
      </font>
      <fill>
        <patternFill>
          <bgColor rgb="FFA63A3A"/>
        </patternFill>
      </fill>
    </dxf>
    <dxf>
      <font>
        <b/>
        <color rgb="FFFFFFFF"/>
      </font>
      <fill>
        <patternFill>
          <bgColor rgb="FF4F7C5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4CF"/>
      <rgbColor rgb="FF6F8FAF"/>
      <rgbColor rgb="FF9AA7B5"/>
      <rgbColor rgb="FFA63A3A"/>
      <rgbColor rgb="FFFBF5EA"/>
      <rgbColor rgb="FFE9EDF2"/>
      <rgbColor rgb="FF660066"/>
      <rgbColor rgb="FFC49A6C"/>
      <rgbColor rgb="FF2050C8"/>
      <rgbColor rgb="FFC9CF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5EC"/>
      <rgbColor rgb="FFF1EDE6"/>
      <rgbColor rgb="FFF7F6F3"/>
      <rgbColor rgb="FFD9D9D9"/>
      <rgbColor rgb="FFE3E0DA"/>
      <rgbColor rgb="FFCC99FF"/>
      <rgbColor rgb="FFEDE2D2"/>
      <rgbColor rgb="FF3366FF"/>
      <rgbColor rgb="FF33CCCC"/>
      <rgbColor rgb="FF99CC00"/>
      <rgbColor rgb="FFFFCC00"/>
      <rgbColor rgb="FFFF9900"/>
      <rgbColor rgb="FFC97A2B"/>
      <rgbColor rgb="FF4F7C5A"/>
      <rgbColor rgb="FF8A94A0"/>
      <rgbColor rgb="FF203040"/>
      <rgbColor rgb="FF2E7D4F"/>
      <rgbColor rgb="FF141414"/>
      <rgbColor rgb="FF333300"/>
      <rgbColor rgb="FF993300"/>
      <rgbColor rgb="FF993366"/>
      <rgbColor rgb="FF333399"/>
      <rgbColor rgb="FF2430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050" b="1" u="none" strike="noStrike">
                <a:solidFill>
                  <a:srgbClr val="203040"/>
                </a:solidFill>
                <a:uFillTx/>
                <a:latin typeface="Bahnschrift SemiBold"/>
              </a:rPr>
              <a:t>ARR trajectory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1"/>
        <c:ser>
          <c:idx val="0"/>
          <c:order val="0"/>
          <c:spPr>
            <a:solidFill>
              <a:srgbClr val="EDE2D2"/>
            </a:solidFill>
            <a:ln w="1260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'KPI Dashboard'!$C$56:$AL$56</c:f>
              <c:numCache>
                <c:formatCode>mmm\-yy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'KPI Dashboard'!$C$57:$AL$57</c:f>
              <c:numCache>
                <c:formatCode>\$#,##0;"($"#,##0\);\-</c:formatCode>
                <c:ptCount val="36"/>
                <c:pt idx="0">
                  <c:v>4296912</c:v>
                </c:pt>
                <c:pt idx="1">
                  <c:v>4598660.9398856144</c:v>
                </c:pt>
                <c:pt idx="2">
                  <c:v>4901261.5172887743</c:v>
                </c:pt>
                <c:pt idx="3">
                  <c:v>5204728.4361577984</c:v>
                </c:pt>
                <c:pt idx="4">
                  <c:v>5509076.4073817842</c:v>
                </c:pt>
                <c:pt idx="5">
                  <c:v>5814320.1494135475</c:v>
                </c:pt>
                <c:pt idx="6">
                  <c:v>6120474.3888911633</c:v>
                </c:pt>
                <c:pt idx="7">
                  <c:v>6427553.8612581259</c:v>
                </c:pt>
                <c:pt idx="8">
                  <c:v>6735573.3113821596</c:v>
                </c:pt>
                <c:pt idx="9">
                  <c:v>7044547.4941726979</c:v>
                </c:pt>
                <c:pt idx="10">
                  <c:v>7354491.175197091</c:v>
                </c:pt>
                <c:pt idx="11">
                  <c:v>7665419.1312955348</c:v>
                </c:pt>
                <c:pt idx="12">
                  <c:v>7977346.1511947773</c:v>
                </c:pt>
                <c:pt idx="13">
                  <c:v>8290287.0361206103</c:v>
                </c:pt>
                <c:pt idx="14">
                  <c:v>8604256.600409206</c:v>
                </c:pt>
                <c:pt idx="15">
                  <c:v>8919269.672117278</c:v>
                </c:pt>
                <c:pt idx="16">
                  <c:v>9235341.0936311521</c:v>
                </c:pt>
                <c:pt idx="17">
                  <c:v>9552485.7222747356</c:v>
                </c:pt>
                <c:pt idx="18">
                  <c:v>9870718.4309164099</c:v>
                </c:pt>
                <c:pt idx="19">
                  <c:v>10190054.108574927</c:v>
                </c:pt>
                <c:pt idx="20">
                  <c:v>10510507.661024267</c:v>
                </c:pt>
                <c:pt idx="21">
                  <c:v>10832094.011397526</c:v>
                </c:pt>
                <c:pt idx="22">
                  <c:v>11154828.100789865</c:v>
                </c:pt>
                <c:pt idx="23">
                  <c:v>11478724.888860533</c:v>
                </c:pt>
                <c:pt idx="24">
                  <c:v>11803799.354433993</c:v>
                </c:pt>
                <c:pt idx="25">
                  <c:v>12130066.496100165</c:v>
                </c:pt>
                <c:pt idx="26">
                  <c:v>12457541.332813866</c:v>
                </c:pt>
                <c:pt idx="27">
                  <c:v>12786238.904493408</c:v>
                </c:pt>
                <c:pt idx="28">
                  <c:v>13116174.272618406</c:v>
                </c:pt>
                <c:pt idx="29">
                  <c:v>13447362.520826869</c:v>
                </c:pt>
                <c:pt idx="30">
                  <c:v>13779818.755511502</c:v>
                </c:pt>
                <c:pt idx="31">
                  <c:v>14113558.106415343</c:v>
                </c:pt>
                <c:pt idx="32">
                  <c:v>14448595.727226717</c:v>
                </c:pt>
                <c:pt idx="33">
                  <c:v>14784946.796173515</c:v>
                </c:pt>
                <c:pt idx="34">
                  <c:v>15122626.516616872</c:v>
                </c:pt>
                <c:pt idx="35">
                  <c:v>15461650.117644239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2-4E79-AEEB-9939A94F8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99524"/>
        <c:axId val="77795195"/>
      </c:areaChart>
      <c:lineChart>
        <c:grouping val="standard"/>
        <c:varyColors val="0"/>
        <c:ser>
          <c:idx val="1"/>
          <c:order val="1"/>
          <c:spPr>
            <a:ln w="28080">
              <a:solidFill>
                <a:srgbClr val="C49A6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'KPI Dashboard'!$C$56:$AL$56</c:f>
              <c:numCache>
                <c:formatCode>mmm\-yy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'KPI Dashboard'!$C$57:$AL$57</c:f>
              <c:numCache>
                <c:formatCode>\$#,##0;"($"#,##0\);\-</c:formatCode>
                <c:ptCount val="36"/>
                <c:pt idx="0">
                  <c:v>4296912</c:v>
                </c:pt>
                <c:pt idx="1">
                  <c:v>4598660.9398856144</c:v>
                </c:pt>
                <c:pt idx="2">
                  <c:v>4901261.5172887743</c:v>
                </c:pt>
                <c:pt idx="3">
                  <c:v>5204728.4361577984</c:v>
                </c:pt>
                <c:pt idx="4">
                  <c:v>5509076.4073817842</c:v>
                </c:pt>
                <c:pt idx="5">
                  <c:v>5814320.1494135475</c:v>
                </c:pt>
                <c:pt idx="6">
                  <c:v>6120474.3888911633</c:v>
                </c:pt>
                <c:pt idx="7">
                  <c:v>6427553.8612581259</c:v>
                </c:pt>
                <c:pt idx="8">
                  <c:v>6735573.3113821596</c:v>
                </c:pt>
                <c:pt idx="9">
                  <c:v>7044547.4941726979</c:v>
                </c:pt>
                <c:pt idx="10">
                  <c:v>7354491.175197091</c:v>
                </c:pt>
                <c:pt idx="11">
                  <c:v>7665419.1312955348</c:v>
                </c:pt>
                <c:pt idx="12">
                  <c:v>7977346.1511947773</c:v>
                </c:pt>
                <c:pt idx="13">
                  <c:v>8290287.0361206103</c:v>
                </c:pt>
                <c:pt idx="14">
                  <c:v>8604256.600409206</c:v>
                </c:pt>
                <c:pt idx="15">
                  <c:v>8919269.672117278</c:v>
                </c:pt>
                <c:pt idx="16">
                  <c:v>9235341.0936311521</c:v>
                </c:pt>
                <c:pt idx="17">
                  <c:v>9552485.7222747356</c:v>
                </c:pt>
                <c:pt idx="18">
                  <c:v>9870718.4309164099</c:v>
                </c:pt>
                <c:pt idx="19">
                  <c:v>10190054.108574927</c:v>
                </c:pt>
                <c:pt idx="20">
                  <c:v>10510507.661024267</c:v>
                </c:pt>
                <c:pt idx="21">
                  <c:v>10832094.011397526</c:v>
                </c:pt>
                <c:pt idx="22">
                  <c:v>11154828.100789865</c:v>
                </c:pt>
                <c:pt idx="23">
                  <c:v>11478724.888860533</c:v>
                </c:pt>
                <c:pt idx="24">
                  <c:v>11803799.354433993</c:v>
                </c:pt>
                <c:pt idx="25">
                  <c:v>12130066.496100165</c:v>
                </c:pt>
                <c:pt idx="26">
                  <c:v>12457541.332813866</c:v>
                </c:pt>
                <c:pt idx="27">
                  <c:v>12786238.904493408</c:v>
                </c:pt>
                <c:pt idx="28">
                  <c:v>13116174.272618406</c:v>
                </c:pt>
                <c:pt idx="29">
                  <c:v>13447362.520826869</c:v>
                </c:pt>
                <c:pt idx="30">
                  <c:v>13779818.755511502</c:v>
                </c:pt>
                <c:pt idx="31">
                  <c:v>14113558.106415343</c:v>
                </c:pt>
                <c:pt idx="32">
                  <c:v>14448595.727226717</c:v>
                </c:pt>
                <c:pt idx="33">
                  <c:v>14784946.796173515</c:v>
                </c:pt>
                <c:pt idx="34">
                  <c:v>15122626.516616872</c:v>
                </c:pt>
                <c:pt idx="35">
                  <c:v>15461650.117644239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A2-4E79-AEEB-9939A94F8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8399524"/>
        <c:axId val="77795195"/>
      </c:lineChart>
      <c:dateAx>
        <c:axId val="88399524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C9CFD6"/>
            </a:solidFill>
            <a:round/>
          </a:ln>
        </c:spPr>
        <c:txPr>
          <a:bodyPr/>
          <a:lstStyle/>
          <a:p>
            <a:pPr>
              <a:defRPr sz="800" b="0" u="none" strike="noStrike">
                <a:solidFill>
                  <a:srgbClr val="8A94A0"/>
                </a:solidFill>
                <a:uFillTx/>
                <a:latin typeface="Aptos"/>
              </a:defRPr>
            </a:pPr>
            <a:endParaRPr lang="en-PK"/>
          </a:p>
        </c:txPr>
        <c:crossAx val="77795195"/>
        <c:crosses val="autoZero"/>
        <c:auto val="1"/>
        <c:lblOffset val="100"/>
        <c:baseTimeUnit val="months"/>
      </c:dateAx>
      <c:valAx>
        <c:axId val="77795195"/>
        <c:scaling>
          <c:orientation val="minMax"/>
        </c:scaling>
        <c:delete val="0"/>
        <c:axPos val="l"/>
        <c:majorGridlines>
          <c:spPr>
            <a:ln w="9360">
              <a:solidFill>
                <a:srgbClr val="E3E0DA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u="none" strike="noStrike">
                <a:solidFill>
                  <a:srgbClr val="8A94A0"/>
                </a:solidFill>
                <a:uFillTx/>
                <a:latin typeface="Aptos"/>
              </a:defRPr>
            </a:pPr>
            <a:endParaRPr lang="en-PK"/>
          </a:p>
        </c:txPr>
        <c:crossAx val="8839952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050" b="1" u="none" strike="noStrike">
                <a:solidFill>
                  <a:srgbClr val="203040"/>
                </a:solidFill>
                <a:uFillTx/>
                <a:latin typeface="Bahnschrift SemiBold"/>
              </a:rPr>
              <a:t>Cash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1"/>
        <c:ser>
          <c:idx val="0"/>
          <c:order val="0"/>
          <c:spPr>
            <a:solidFill>
              <a:srgbClr val="DEE5EC"/>
            </a:solidFill>
            <a:ln w="1260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'KPI Dashboard'!$C$56:$AL$56</c:f>
              <c:numCache>
                <c:formatCode>mmm\-yy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'KPI Dashboard'!$C$76:$AL$76</c:f>
              <c:numCache>
                <c:formatCode>\$#,##0;"($"#,##0\);\-</c:formatCode>
                <c:ptCount val="36"/>
                <c:pt idx="0">
                  <c:v>17731206.187722221</c:v>
                </c:pt>
                <c:pt idx="1">
                  <c:v>17472881.462798979</c:v>
                </c:pt>
                <c:pt idx="2">
                  <c:v>17225091.999271791</c:v>
                </c:pt>
                <c:pt idx="3">
                  <c:v>16987905.091441836</c:v>
                </c:pt>
                <c:pt idx="4">
                  <c:v>16761389.154413363</c:v>
                </c:pt>
                <c:pt idx="5">
                  <c:v>16545613.724684384</c:v>
                </c:pt>
                <c:pt idx="6">
                  <c:v>16340649.460784558</c:v>
                </c:pt>
                <c:pt idx="7">
                  <c:v>16146568.143960163</c:v>
                </c:pt>
                <c:pt idx="8">
                  <c:v>15963442.67890604</c:v>
                </c:pt>
                <c:pt idx="9">
                  <c:v>15791347.094544441</c:v>
                </c:pt>
                <c:pt idx="10">
                  <c:v>15630356.544850633</c:v>
                </c:pt>
                <c:pt idx="11">
                  <c:v>15480547.309725221</c:v>
                </c:pt>
                <c:pt idx="12">
                  <c:v>15285161.772866381</c:v>
                </c:pt>
                <c:pt idx="13">
                  <c:v>15101132.051735269</c:v>
                </c:pt>
                <c:pt idx="14">
                  <c:v>14928537.809707848</c:v>
                </c:pt>
                <c:pt idx="15">
                  <c:v>14767459.840039721</c:v>
                </c:pt>
                <c:pt idx="16">
                  <c:v>14617980.066970516</c:v>
                </c:pt>
                <c:pt idx="17">
                  <c:v>14480181.546874464</c:v>
                </c:pt>
                <c:pt idx="18">
                  <c:v>14354148.469457034</c:v>
                </c:pt>
                <c:pt idx="19">
                  <c:v>14239966.158997592</c:v>
                </c:pt>
                <c:pt idx="20">
                  <c:v>14137721.075637972</c:v>
                </c:pt>
                <c:pt idx="21">
                  <c:v>14047500.816716911</c:v>
                </c:pt>
                <c:pt idx="22">
                  <c:v>13969394.118150262</c:v>
                </c:pt>
                <c:pt idx="23">
                  <c:v>13903490.855856918</c:v>
                </c:pt>
                <c:pt idx="24">
                  <c:v>13779553.132843541</c:v>
                </c:pt>
                <c:pt idx="25">
                  <c:v>13667510.778638868</c:v>
                </c:pt>
                <c:pt idx="26">
                  <c:v>13567457.098182596</c:v>
                </c:pt>
                <c:pt idx="27">
                  <c:v>13479486.542576976</c:v>
                </c:pt>
                <c:pt idx="28">
                  <c:v>13403694.710740322</c:v>
                </c:pt>
                <c:pt idx="29">
                  <c:v>13340178.351105865</c:v>
                </c:pt>
                <c:pt idx="30">
                  <c:v>13289035.363365887</c:v>
                </c:pt>
                <c:pt idx="31">
                  <c:v>13250364.800261088</c:v>
                </c:pt>
                <c:pt idx="32">
                  <c:v>13224266.869415129</c:v>
                </c:pt>
                <c:pt idx="33">
                  <c:v>13210842.9352143</c:v>
                </c:pt>
                <c:pt idx="34">
                  <c:v>13210195.520732271</c:v>
                </c:pt>
                <c:pt idx="35">
                  <c:v>13222428.30969988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C-4BAB-8DAB-89975F236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58083"/>
        <c:axId val="91544198"/>
      </c:areaChart>
      <c:lineChart>
        <c:grouping val="standard"/>
        <c:varyColors val="0"/>
        <c:ser>
          <c:idx val="1"/>
          <c:order val="1"/>
          <c:spPr>
            <a:ln w="28080">
              <a:solidFill>
                <a:srgbClr val="20304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'KPI Dashboard'!$C$56:$AL$56</c:f>
              <c:numCache>
                <c:formatCode>mmm\-yy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'KPI Dashboard'!$C$76:$AL$76</c:f>
              <c:numCache>
                <c:formatCode>\$#,##0;"($"#,##0\);\-</c:formatCode>
                <c:ptCount val="36"/>
                <c:pt idx="0">
                  <c:v>17731206.187722221</c:v>
                </c:pt>
                <c:pt idx="1">
                  <c:v>17472881.462798979</c:v>
                </c:pt>
                <c:pt idx="2">
                  <c:v>17225091.999271791</c:v>
                </c:pt>
                <c:pt idx="3">
                  <c:v>16987905.091441836</c:v>
                </c:pt>
                <c:pt idx="4">
                  <c:v>16761389.154413363</c:v>
                </c:pt>
                <c:pt idx="5">
                  <c:v>16545613.724684384</c:v>
                </c:pt>
                <c:pt idx="6">
                  <c:v>16340649.460784558</c:v>
                </c:pt>
                <c:pt idx="7">
                  <c:v>16146568.143960163</c:v>
                </c:pt>
                <c:pt idx="8">
                  <c:v>15963442.67890604</c:v>
                </c:pt>
                <c:pt idx="9">
                  <c:v>15791347.094544441</c:v>
                </c:pt>
                <c:pt idx="10">
                  <c:v>15630356.544850633</c:v>
                </c:pt>
                <c:pt idx="11">
                  <c:v>15480547.309725221</c:v>
                </c:pt>
                <c:pt idx="12">
                  <c:v>15285161.772866381</c:v>
                </c:pt>
                <c:pt idx="13">
                  <c:v>15101132.051735269</c:v>
                </c:pt>
                <c:pt idx="14">
                  <c:v>14928537.809707848</c:v>
                </c:pt>
                <c:pt idx="15">
                  <c:v>14767459.840039721</c:v>
                </c:pt>
                <c:pt idx="16">
                  <c:v>14617980.066970516</c:v>
                </c:pt>
                <c:pt idx="17">
                  <c:v>14480181.546874464</c:v>
                </c:pt>
                <c:pt idx="18">
                  <c:v>14354148.469457034</c:v>
                </c:pt>
                <c:pt idx="19">
                  <c:v>14239966.158997592</c:v>
                </c:pt>
                <c:pt idx="20">
                  <c:v>14137721.075637972</c:v>
                </c:pt>
                <c:pt idx="21">
                  <c:v>14047500.816716911</c:v>
                </c:pt>
                <c:pt idx="22">
                  <c:v>13969394.118150262</c:v>
                </c:pt>
                <c:pt idx="23">
                  <c:v>13903490.855856918</c:v>
                </c:pt>
                <c:pt idx="24">
                  <c:v>13779553.132843541</c:v>
                </c:pt>
                <c:pt idx="25">
                  <c:v>13667510.778638868</c:v>
                </c:pt>
                <c:pt idx="26">
                  <c:v>13567457.098182596</c:v>
                </c:pt>
                <c:pt idx="27">
                  <c:v>13479486.542576976</c:v>
                </c:pt>
                <c:pt idx="28">
                  <c:v>13403694.710740322</c:v>
                </c:pt>
                <c:pt idx="29">
                  <c:v>13340178.351105865</c:v>
                </c:pt>
                <c:pt idx="30">
                  <c:v>13289035.363365887</c:v>
                </c:pt>
                <c:pt idx="31">
                  <c:v>13250364.800261088</c:v>
                </c:pt>
                <c:pt idx="32">
                  <c:v>13224266.869415129</c:v>
                </c:pt>
                <c:pt idx="33">
                  <c:v>13210842.9352143</c:v>
                </c:pt>
                <c:pt idx="34">
                  <c:v>13210195.520732271</c:v>
                </c:pt>
                <c:pt idx="35">
                  <c:v>13222428.30969988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3C-4BAB-8DAB-89975F236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2458083"/>
        <c:axId val="91544198"/>
      </c:lineChart>
      <c:dateAx>
        <c:axId val="62458083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C9CFD6"/>
            </a:solidFill>
            <a:round/>
          </a:ln>
        </c:spPr>
        <c:txPr>
          <a:bodyPr/>
          <a:lstStyle/>
          <a:p>
            <a:pPr>
              <a:defRPr sz="800" b="0" u="none" strike="noStrike">
                <a:solidFill>
                  <a:srgbClr val="8A94A0"/>
                </a:solidFill>
                <a:uFillTx/>
                <a:latin typeface="Aptos"/>
              </a:defRPr>
            </a:pPr>
            <a:endParaRPr lang="en-PK"/>
          </a:p>
        </c:txPr>
        <c:crossAx val="91544198"/>
        <c:crosses val="autoZero"/>
        <c:auto val="1"/>
        <c:lblOffset val="100"/>
        <c:baseTimeUnit val="months"/>
      </c:dateAx>
      <c:valAx>
        <c:axId val="91544198"/>
        <c:scaling>
          <c:orientation val="minMax"/>
        </c:scaling>
        <c:delete val="0"/>
        <c:axPos val="l"/>
        <c:majorGridlines>
          <c:spPr>
            <a:ln w="9360">
              <a:solidFill>
                <a:srgbClr val="E3E0DA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u="none" strike="noStrike">
                <a:solidFill>
                  <a:srgbClr val="8A94A0"/>
                </a:solidFill>
                <a:uFillTx/>
                <a:latin typeface="Aptos"/>
              </a:defRPr>
            </a:pPr>
            <a:endParaRPr lang="en-PK"/>
          </a:p>
        </c:txPr>
        <c:crossAx val="6245808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050" b="1" u="none" strike="noStrike">
                <a:solidFill>
                  <a:srgbClr val="203040"/>
                </a:solidFill>
                <a:uFillTx/>
                <a:latin typeface="Bahnschrift SemiBold"/>
              </a:rPr>
              <a:t>EBITDA margin bridge to breakeven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080">
              <a:solidFill>
                <a:srgbClr val="6F8F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'KPI Dashboard'!$C$56:$AL$56</c:f>
              <c:numCache>
                <c:formatCode>mmm\-yy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'KPI Dashboard'!$C$62:$AL$62</c:f>
              <c:numCache>
                <c:formatCode>0.0%;\(0.0%\);\-</c:formatCode>
                <c:ptCount val="36"/>
                <c:pt idx="0">
                  <c:v>-1.0536696463258577</c:v>
                </c:pt>
                <c:pt idx="1">
                  <c:v>-0.95848129727093923</c:v>
                </c:pt>
                <c:pt idx="2">
                  <c:v>-0.874705472079919</c:v>
                </c:pt>
                <c:pt idx="3">
                  <c:v>-0.8003879002580564</c:v>
                </c:pt>
                <c:pt idx="4">
                  <c:v>-0.73399622784883556</c:v>
                </c:pt>
                <c:pt idx="5">
                  <c:v>-0.6743119895847367</c:v>
                </c:pt>
                <c:pt idx="6">
                  <c:v>-0.62035415560823026</c:v>
                </c:pt>
                <c:pt idx="7">
                  <c:v>-0.57132398610549762</c:v>
                </c:pt>
                <c:pt idx="8">
                  <c:v>-0.5265645730035774</c:v>
                </c:pt>
                <c:pt idx="9">
                  <c:v>-0.48553069909252705</c:v>
                </c:pt>
                <c:pt idx="10">
                  <c:v>-0.44776607011824493</c:v>
                </c:pt>
                <c:pt idx="11">
                  <c:v>-0.41288589812389764</c:v>
                </c:pt>
                <c:pt idx="12">
                  <c:v>-0.4660580563812256</c:v>
                </c:pt>
                <c:pt idx="13">
                  <c:v>-0.43275990257096764</c:v>
                </c:pt>
                <c:pt idx="14">
                  <c:v>-0.40172733567513957</c:v>
                </c:pt>
                <c:pt idx="15">
                  <c:v>-0.37272970540394457</c:v>
                </c:pt>
                <c:pt idx="16">
                  <c:v>-0.34556659081527358</c:v>
                </c:pt>
                <c:pt idx="17">
                  <c:v>-0.32006300627706502</c:v>
                </c:pt>
                <c:pt idx="18">
                  <c:v>-0.29606549171599511</c:v>
                </c:pt>
                <c:pt idx="19">
                  <c:v>-0.27343890253131858</c:v>
                </c:pt>
                <c:pt idx="20">
                  <c:v>-0.25206375732851488</c:v>
                </c:pt>
                <c:pt idx="21">
                  <c:v>-0.23183403356721718</c:v>
                </c:pt>
                <c:pt idx="22">
                  <c:v>-0.21265532528824171</c:v>
                </c:pt>
                <c:pt idx="23">
                  <c:v>-0.1944432953823042</c:v>
                </c:pt>
                <c:pt idx="24">
                  <c:v>-0.24862027793264313</c:v>
                </c:pt>
                <c:pt idx="25">
                  <c:v>-0.23068540424554301</c:v>
                </c:pt>
                <c:pt idx="26">
                  <c:v>-0.21358112621261469</c:v>
                </c:pt>
                <c:pt idx="27">
                  <c:v>-0.19724716957398267</c:v>
                </c:pt>
                <c:pt idx="28">
                  <c:v>-0.1816289349952811</c:v>
                </c:pt>
                <c:pt idx="29">
                  <c:v>-0.16667684618013331</c:v>
                </c:pt>
                <c:pt idx="30">
                  <c:v>-0.15234578582127903</c:v>
                </c:pt>
                <c:pt idx="31">
                  <c:v>-0.13859460588506323</c:v>
                </c:pt>
                <c:pt idx="32">
                  <c:v>-0.12538570104610552</c:v>
                </c:pt>
                <c:pt idx="33">
                  <c:v>-0.11268463597133516</c:v>
                </c:pt>
                <c:pt idx="34">
                  <c:v>-0.1004598186858251</c:v>
                </c:pt>
                <c:pt idx="35">
                  <c:v>-8.8682213507535773E-2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B5-4441-84D1-824E1FD2D6AC}"/>
            </c:ext>
          </c:extLst>
        </c:ser>
        <c:ser>
          <c:idx val="1"/>
          <c:order val="1"/>
          <c:spPr>
            <a:ln w="11880">
              <a:solidFill>
                <a:srgbClr val="9AA7B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1880">
                      <a:solidFill>
                        <a:srgbClr val="000000"/>
                      </a:solidFill>
                      <a:prstDash val="dash"/>
                    </a:ln>
                  </c:spPr>
                </c15:leaderLines>
              </c:ext>
            </c:extLst>
          </c:dLbls>
          <c:cat>
            <c:numRef>
              <c:f>'KPI Dashboard'!$C$56:$AL$56</c:f>
              <c:numCache>
                <c:formatCode>mmm\-yy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'KPI Dashboard'!$C$95:$AL$95</c:f>
              <c:numCache>
                <c:formatCode>0.0%;\(0.0%\);\-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B5-4441-84D1-824E1FD2D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687932"/>
        <c:axId val="32467227"/>
      </c:lineChart>
      <c:dateAx>
        <c:axId val="2368793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C9CFD6"/>
            </a:solidFill>
            <a:round/>
          </a:ln>
        </c:spPr>
        <c:txPr>
          <a:bodyPr/>
          <a:lstStyle/>
          <a:p>
            <a:pPr>
              <a:defRPr sz="800" b="0" u="none" strike="noStrike">
                <a:solidFill>
                  <a:srgbClr val="8A94A0"/>
                </a:solidFill>
                <a:uFillTx/>
                <a:latin typeface="Aptos"/>
              </a:defRPr>
            </a:pPr>
            <a:endParaRPr lang="en-PK"/>
          </a:p>
        </c:txPr>
        <c:crossAx val="32467227"/>
        <c:crosses val="autoZero"/>
        <c:auto val="1"/>
        <c:lblOffset val="100"/>
        <c:baseTimeUnit val="months"/>
      </c:dateAx>
      <c:valAx>
        <c:axId val="32467227"/>
        <c:scaling>
          <c:orientation val="minMax"/>
        </c:scaling>
        <c:delete val="0"/>
        <c:axPos val="l"/>
        <c:majorGridlines>
          <c:spPr>
            <a:ln w="9360">
              <a:solidFill>
                <a:srgbClr val="E3E0DA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u="none" strike="noStrike">
                <a:solidFill>
                  <a:srgbClr val="8A94A0"/>
                </a:solidFill>
                <a:uFillTx/>
                <a:latin typeface="Aptos"/>
              </a:defRPr>
            </a:pPr>
            <a:endParaRPr lang="en-PK"/>
          </a:p>
        </c:txPr>
        <c:crossAx val="236879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050" b="1" u="none" strike="noStrike">
                <a:solidFill>
                  <a:srgbClr val="203040"/>
                </a:solidFill>
                <a:uFillTx/>
                <a:latin typeface="Bahnschrift SemiBold"/>
              </a:rPr>
              <a:t>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Engineering</c:v>
          </c:tx>
          <c:spPr>
            <a:solidFill>
              <a:srgbClr val="203040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'KPI Dashboard'!$C$56:$AL$56</c:f>
              <c:numCache>
                <c:formatCode>mmm\-yy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'KPI Dashboard'!$C$80:$AL$80</c:f>
              <c:numCache>
                <c:formatCode>#,##0.0;\(#,##0.0\);\-</c:formatCode>
                <c:ptCount val="36"/>
                <c:pt idx="0">
                  <c:v>12.333333333333334</c:v>
                </c:pt>
                <c:pt idx="1">
                  <c:v>12.666666666666668</c:v>
                </c:pt>
                <c:pt idx="2">
                  <c:v>13.000000000000002</c:v>
                </c:pt>
                <c:pt idx="3">
                  <c:v>13.333333333333336</c:v>
                </c:pt>
                <c:pt idx="4">
                  <c:v>13.66666666666667</c:v>
                </c:pt>
                <c:pt idx="5">
                  <c:v>14.000000000000004</c:v>
                </c:pt>
                <c:pt idx="6">
                  <c:v>14.333333333333337</c:v>
                </c:pt>
                <c:pt idx="7">
                  <c:v>14.666666666666671</c:v>
                </c:pt>
                <c:pt idx="8">
                  <c:v>15.000000000000005</c:v>
                </c:pt>
                <c:pt idx="9">
                  <c:v>15.333333333333339</c:v>
                </c:pt>
                <c:pt idx="10">
                  <c:v>15.666666666666673</c:v>
                </c:pt>
                <c:pt idx="11">
                  <c:v>16.000000000000007</c:v>
                </c:pt>
                <c:pt idx="12">
                  <c:v>16.250000000000007</c:v>
                </c:pt>
                <c:pt idx="13">
                  <c:v>16.500000000000007</c:v>
                </c:pt>
                <c:pt idx="14">
                  <c:v>16.750000000000007</c:v>
                </c:pt>
                <c:pt idx="15">
                  <c:v>17.000000000000007</c:v>
                </c:pt>
                <c:pt idx="16">
                  <c:v>17.250000000000007</c:v>
                </c:pt>
                <c:pt idx="17">
                  <c:v>17.500000000000007</c:v>
                </c:pt>
                <c:pt idx="18">
                  <c:v>17.750000000000007</c:v>
                </c:pt>
                <c:pt idx="19">
                  <c:v>18.000000000000007</c:v>
                </c:pt>
                <c:pt idx="20">
                  <c:v>18.250000000000007</c:v>
                </c:pt>
                <c:pt idx="21">
                  <c:v>18.500000000000007</c:v>
                </c:pt>
                <c:pt idx="22">
                  <c:v>18.750000000000007</c:v>
                </c:pt>
                <c:pt idx="23">
                  <c:v>19.000000000000007</c:v>
                </c:pt>
                <c:pt idx="24">
                  <c:v>19.250000000000007</c:v>
                </c:pt>
                <c:pt idx="25">
                  <c:v>19.500000000000007</c:v>
                </c:pt>
                <c:pt idx="26">
                  <c:v>19.750000000000007</c:v>
                </c:pt>
                <c:pt idx="27">
                  <c:v>20.000000000000007</c:v>
                </c:pt>
                <c:pt idx="28">
                  <c:v>20.250000000000007</c:v>
                </c:pt>
                <c:pt idx="29">
                  <c:v>20.500000000000007</c:v>
                </c:pt>
                <c:pt idx="30">
                  <c:v>20.750000000000007</c:v>
                </c:pt>
                <c:pt idx="31">
                  <c:v>21.000000000000007</c:v>
                </c:pt>
                <c:pt idx="32">
                  <c:v>21.250000000000007</c:v>
                </c:pt>
                <c:pt idx="33">
                  <c:v>21.500000000000007</c:v>
                </c:pt>
                <c:pt idx="34">
                  <c:v>21.750000000000007</c:v>
                </c:pt>
                <c:pt idx="35">
                  <c:v>22.000000000000007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C-4158-991B-40F1D81E6549}"/>
            </c:ext>
          </c:extLst>
        </c:ser>
        <c:ser>
          <c:idx val="1"/>
          <c:order val="1"/>
          <c:tx>
            <c:v>Product</c:v>
          </c:tx>
          <c:spPr>
            <a:solidFill>
              <a:srgbClr val="6F8FAF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'KPI Dashboard'!$C$56:$AL$56</c:f>
              <c:numCache>
                <c:formatCode>mmm\-yy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'KPI Dashboard'!$C$81:$AL$81</c:f>
              <c:numCache>
                <c:formatCode>#,##0.0;\(#,##0.0\);\-</c:formatCode>
                <c:ptCount val="36"/>
                <c:pt idx="0">
                  <c:v>4.083333333333333</c:v>
                </c:pt>
                <c:pt idx="1">
                  <c:v>4.1666666666666661</c:v>
                </c:pt>
                <c:pt idx="2">
                  <c:v>4.2499999999999991</c:v>
                </c:pt>
                <c:pt idx="3">
                  <c:v>4.3333333333333321</c:v>
                </c:pt>
                <c:pt idx="4">
                  <c:v>4.4166666666666652</c:v>
                </c:pt>
                <c:pt idx="5">
                  <c:v>4.4999999999999982</c:v>
                </c:pt>
                <c:pt idx="6">
                  <c:v>4.5833333333333313</c:v>
                </c:pt>
                <c:pt idx="7">
                  <c:v>4.6666666666666643</c:v>
                </c:pt>
                <c:pt idx="8">
                  <c:v>4.7499999999999973</c:v>
                </c:pt>
                <c:pt idx="9">
                  <c:v>4.8333333333333304</c:v>
                </c:pt>
                <c:pt idx="10">
                  <c:v>4.9166666666666634</c:v>
                </c:pt>
                <c:pt idx="11">
                  <c:v>4.9999999999999964</c:v>
                </c:pt>
                <c:pt idx="12">
                  <c:v>5.0833333333333295</c:v>
                </c:pt>
                <c:pt idx="13">
                  <c:v>5.1666666666666625</c:v>
                </c:pt>
                <c:pt idx="14">
                  <c:v>5.2499999999999956</c:v>
                </c:pt>
                <c:pt idx="15">
                  <c:v>5.3333333333333286</c:v>
                </c:pt>
                <c:pt idx="16">
                  <c:v>5.4166666666666616</c:v>
                </c:pt>
                <c:pt idx="17">
                  <c:v>5.4999999999999947</c:v>
                </c:pt>
                <c:pt idx="18">
                  <c:v>5.5833333333333277</c:v>
                </c:pt>
                <c:pt idx="19">
                  <c:v>5.6666666666666607</c:v>
                </c:pt>
                <c:pt idx="20">
                  <c:v>5.7499999999999938</c:v>
                </c:pt>
                <c:pt idx="21">
                  <c:v>5.8333333333333268</c:v>
                </c:pt>
                <c:pt idx="22">
                  <c:v>5.9166666666666599</c:v>
                </c:pt>
                <c:pt idx="23">
                  <c:v>5.9999999999999929</c:v>
                </c:pt>
                <c:pt idx="24">
                  <c:v>6.0833333333333259</c:v>
                </c:pt>
                <c:pt idx="25">
                  <c:v>6.166666666666659</c:v>
                </c:pt>
                <c:pt idx="26">
                  <c:v>6.249999999999992</c:v>
                </c:pt>
                <c:pt idx="27">
                  <c:v>6.333333333333325</c:v>
                </c:pt>
                <c:pt idx="28">
                  <c:v>6.4166666666666581</c:v>
                </c:pt>
                <c:pt idx="29">
                  <c:v>6.4999999999999911</c:v>
                </c:pt>
                <c:pt idx="30">
                  <c:v>6.5833333333333242</c:v>
                </c:pt>
                <c:pt idx="31">
                  <c:v>6.6666666666666572</c:v>
                </c:pt>
                <c:pt idx="32">
                  <c:v>6.7499999999999902</c:v>
                </c:pt>
                <c:pt idx="33">
                  <c:v>6.8333333333333233</c:v>
                </c:pt>
                <c:pt idx="34">
                  <c:v>6.9166666666666563</c:v>
                </c:pt>
                <c:pt idx="35">
                  <c:v>6.9999999999999893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FC-4158-991B-40F1D81E6549}"/>
            </c:ext>
          </c:extLst>
        </c:ser>
        <c:ser>
          <c:idx val="2"/>
          <c:order val="2"/>
          <c:tx>
            <c:v>Sales</c:v>
          </c:tx>
          <c:spPr>
            <a:solidFill>
              <a:srgbClr val="C49A6C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'KPI Dashboard'!$C$56:$AL$56</c:f>
              <c:numCache>
                <c:formatCode>mmm\-yy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'KPI Dashboard'!$C$82:$AL$82</c:f>
              <c:numCache>
                <c:formatCode>#,##0.0;\(#,##0.0\);\-</c:formatCode>
                <c:ptCount val="36"/>
                <c:pt idx="0">
                  <c:v>8.25</c:v>
                </c:pt>
                <c:pt idx="1">
                  <c:v>8.5</c:v>
                </c:pt>
                <c:pt idx="2">
                  <c:v>8.75</c:v>
                </c:pt>
                <c:pt idx="3">
                  <c:v>9</c:v>
                </c:pt>
                <c:pt idx="4">
                  <c:v>9.25</c:v>
                </c:pt>
                <c:pt idx="5">
                  <c:v>9.5</c:v>
                </c:pt>
                <c:pt idx="6">
                  <c:v>9.75</c:v>
                </c:pt>
                <c:pt idx="7">
                  <c:v>10</c:v>
                </c:pt>
                <c:pt idx="8">
                  <c:v>10.25</c:v>
                </c:pt>
                <c:pt idx="9">
                  <c:v>10.5</c:v>
                </c:pt>
                <c:pt idx="10">
                  <c:v>10.75</c:v>
                </c:pt>
                <c:pt idx="11">
                  <c:v>11</c:v>
                </c:pt>
                <c:pt idx="12">
                  <c:v>11.25</c:v>
                </c:pt>
                <c:pt idx="13">
                  <c:v>11.5</c:v>
                </c:pt>
                <c:pt idx="14">
                  <c:v>11.75</c:v>
                </c:pt>
                <c:pt idx="15">
                  <c:v>12</c:v>
                </c:pt>
                <c:pt idx="16">
                  <c:v>12.25</c:v>
                </c:pt>
                <c:pt idx="17">
                  <c:v>12.5</c:v>
                </c:pt>
                <c:pt idx="18">
                  <c:v>12.75</c:v>
                </c:pt>
                <c:pt idx="19">
                  <c:v>13</c:v>
                </c:pt>
                <c:pt idx="20">
                  <c:v>13.25</c:v>
                </c:pt>
                <c:pt idx="21">
                  <c:v>13.5</c:v>
                </c:pt>
                <c:pt idx="22">
                  <c:v>13.75</c:v>
                </c:pt>
                <c:pt idx="23">
                  <c:v>14</c:v>
                </c:pt>
                <c:pt idx="24">
                  <c:v>14.25</c:v>
                </c:pt>
                <c:pt idx="25">
                  <c:v>14.5</c:v>
                </c:pt>
                <c:pt idx="26">
                  <c:v>14.75</c:v>
                </c:pt>
                <c:pt idx="27">
                  <c:v>15</c:v>
                </c:pt>
                <c:pt idx="28">
                  <c:v>15.25</c:v>
                </c:pt>
                <c:pt idx="29">
                  <c:v>15.5</c:v>
                </c:pt>
                <c:pt idx="30">
                  <c:v>15.75</c:v>
                </c:pt>
                <c:pt idx="31">
                  <c:v>16</c:v>
                </c:pt>
                <c:pt idx="32">
                  <c:v>16.25</c:v>
                </c:pt>
                <c:pt idx="33">
                  <c:v>16.5</c:v>
                </c:pt>
                <c:pt idx="34">
                  <c:v>16.75</c:v>
                </c:pt>
                <c:pt idx="3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FC-4158-991B-40F1D81E6549}"/>
            </c:ext>
          </c:extLst>
        </c:ser>
        <c:ser>
          <c:idx val="3"/>
          <c:order val="3"/>
          <c:tx>
            <c:v>Marketing</c:v>
          </c:tx>
          <c:spPr>
            <a:solidFill>
              <a:srgbClr val="4F7C5A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'KPI Dashboard'!$C$56:$AL$56</c:f>
              <c:numCache>
                <c:formatCode>mmm\-yy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'KPI Dashboard'!$C$83:$AL$83</c:f>
              <c:numCache>
                <c:formatCode>#,##0.0;\(#,##0.0\);\-</c:formatCode>
                <c:ptCount val="36"/>
                <c:pt idx="0">
                  <c:v>4.083333333333333</c:v>
                </c:pt>
                <c:pt idx="1">
                  <c:v>4.1666666666666661</c:v>
                </c:pt>
                <c:pt idx="2">
                  <c:v>4.2499999999999991</c:v>
                </c:pt>
                <c:pt idx="3">
                  <c:v>4.3333333333333321</c:v>
                </c:pt>
                <c:pt idx="4">
                  <c:v>4.4166666666666652</c:v>
                </c:pt>
                <c:pt idx="5">
                  <c:v>4.4999999999999982</c:v>
                </c:pt>
                <c:pt idx="6">
                  <c:v>4.5833333333333313</c:v>
                </c:pt>
                <c:pt idx="7">
                  <c:v>4.6666666666666643</c:v>
                </c:pt>
                <c:pt idx="8">
                  <c:v>4.7499999999999973</c:v>
                </c:pt>
                <c:pt idx="9">
                  <c:v>4.8333333333333304</c:v>
                </c:pt>
                <c:pt idx="10">
                  <c:v>4.9166666666666634</c:v>
                </c:pt>
                <c:pt idx="11">
                  <c:v>4.9999999999999964</c:v>
                </c:pt>
                <c:pt idx="12">
                  <c:v>5.0833333333333295</c:v>
                </c:pt>
                <c:pt idx="13">
                  <c:v>5.1666666666666625</c:v>
                </c:pt>
                <c:pt idx="14">
                  <c:v>5.2499999999999956</c:v>
                </c:pt>
                <c:pt idx="15">
                  <c:v>5.3333333333333286</c:v>
                </c:pt>
                <c:pt idx="16">
                  <c:v>5.4166666666666616</c:v>
                </c:pt>
                <c:pt idx="17">
                  <c:v>5.4999999999999947</c:v>
                </c:pt>
                <c:pt idx="18">
                  <c:v>5.5833333333333277</c:v>
                </c:pt>
                <c:pt idx="19">
                  <c:v>5.6666666666666607</c:v>
                </c:pt>
                <c:pt idx="20">
                  <c:v>5.7499999999999938</c:v>
                </c:pt>
                <c:pt idx="21">
                  <c:v>5.8333333333333268</c:v>
                </c:pt>
                <c:pt idx="22">
                  <c:v>5.9166666666666599</c:v>
                </c:pt>
                <c:pt idx="23">
                  <c:v>5.9999999999999929</c:v>
                </c:pt>
                <c:pt idx="24">
                  <c:v>6.0833333333333259</c:v>
                </c:pt>
                <c:pt idx="25">
                  <c:v>6.166666666666659</c:v>
                </c:pt>
                <c:pt idx="26">
                  <c:v>6.249999999999992</c:v>
                </c:pt>
                <c:pt idx="27">
                  <c:v>6.333333333333325</c:v>
                </c:pt>
                <c:pt idx="28">
                  <c:v>6.4166666666666581</c:v>
                </c:pt>
                <c:pt idx="29">
                  <c:v>6.4999999999999911</c:v>
                </c:pt>
                <c:pt idx="30">
                  <c:v>6.5833333333333242</c:v>
                </c:pt>
                <c:pt idx="31">
                  <c:v>6.6666666666666572</c:v>
                </c:pt>
                <c:pt idx="32">
                  <c:v>6.7499999999999902</c:v>
                </c:pt>
                <c:pt idx="33">
                  <c:v>6.8333333333333233</c:v>
                </c:pt>
                <c:pt idx="34">
                  <c:v>6.9166666666666563</c:v>
                </c:pt>
                <c:pt idx="35">
                  <c:v>6.9999999999999893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FC-4158-991B-40F1D81E6549}"/>
            </c:ext>
          </c:extLst>
        </c:ser>
        <c:ser>
          <c:idx val="4"/>
          <c:order val="4"/>
          <c:tx>
            <c:v>Customer Success</c:v>
          </c:tx>
          <c:spPr>
            <a:solidFill>
              <a:srgbClr val="C97A2B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'KPI Dashboard'!$C$56:$AL$56</c:f>
              <c:numCache>
                <c:formatCode>mmm\-yy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'KPI Dashboard'!$C$84:$AL$84</c:f>
              <c:numCache>
                <c:formatCode>#,##0.0;\(#,##0.0\);\-</c:formatCode>
                <c:ptCount val="36"/>
                <c:pt idx="0">
                  <c:v>7.166666666666667</c:v>
                </c:pt>
                <c:pt idx="1">
                  <c:v>7.3333333333333339</c:v>
                </c:pt>
                <c:pt idx="2">
                  <c:v>7.5000000000000009</c:v>
                </c:pt>
                <c:pt idx="3">
                  <c:v>7.6666666666666679</c:v>
                </c:pt>
                <c:pt idx="4">
                  <c:v>7.8333333333333348</c:v>
                </c:pt>
                <c:pt idx="5">
                  <c:v>8.0000000000000018</c:v>
                </c:pt>
                <c:pt idx="6">
                  <c:v>8.1666666666666679</c:v>
                </c:pt>
                <c:pt idx="7">
                  <c:v>8.3333333333333339</c:v>
                </c:pt>
                <c:pt idx="8">
                  <c:v>8.5</c:v>
                </c:pt>
                <c:pt idx="9">
                  <c:v>8.6666666666666661</c:v>
                </c:pt>
                <c:pt idx="10">
                  <c:v>8.8333333333333321</c:v>
                </c:pt>
                <c:pt idx="11">
                  <c:v>8.9999999999999982</c:v>
                </c:pt>
                <c:pt idx="12">
                  <c:v>9.2499999999999982</c:v>
                </c:pt>
                <c:pt idx="13">
                  <c:v>9.4999999999999982</c:v>
                </c:pt>
                <c:pt idx="14">
                  <c:v>9.7499999999999982</c:v>
                </c:pt>
                <c:pt idx="15">
                  <c:v>9.9999999999999982</c:v>
                </c:pt>
                <c:pt idx="16">
                  <c:v>10.249999999999998</c:v>
                </c:pt>
                <c:pt idx="17">
                  <c:v>10.499999999999998</c:v>
                </c:pt>
                <c:pt idx="18">
                  <c:v>10.749999999999998</c:v>
                </c:pt>
                <c:pt idx="19">
                  <c:v>10.999999999999998</c:v>
                </c:pt>
                <c:pt idx="20">
                  <c:v>11.249999999999998</c:v>
                </c:pt>
                <c:pt idx="21">
                  <c:v>11.499999999999998</c:v>
                </c:pt>
                <c:pt idx="22">
                  <c:v>11.749999999999998</c:v>
                </c:pt>
                <c:pt idx="23">
                  <c:v>11.999999999999998</c:v>
                </c:pt>
                <c:pt idx="24">
                  <c:v>12.249999999999998</c:v>
                </c:pt>
                <c:pt idx="25">
                  <c:v>12.499999999999998</c:v>
                </c:pt>
                <c:pt idx="26">
                  <c:v>12.749999999999998</c:v>
                </c:pt>
                <c:pt idx="27">
                  <c:v>12.999999999999998</c:v>
                </c:pt>
                <c:pt idx="28">
                  <c:v>13.249999999999998</c:v>
                </c:pt>
                <c:pt idx="29">
                  <c:v>13.499999999999998</c:v>
                </c:pt>
                <c:pt idx="30">
                  <c:v>13.749999999999998</c:v>
                </c:pt>
                <c:pt idx="31">
                  <c:v>13.999999999999998</c:v>
                </c:pt>
                <c:pt idx="32">
                  <c:v>14.249999999999998</c:v>
                </c:pt>
                <c:pt idx="33">
                  <c:v>14.499999999999998</c:v>
                </c:pt>
                <c:pt idx="34">
                  <c:v>14.749999999999998</c:v>
                </c:pt>
                <c:pt idx="35">
                  <c:v>14.999999999999998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FC-4158-991B-40F1D81E6549}"/>
            </c:ext>
          </c:extLst>
        </c:ser>
        <c:ser>
          <c:idx val="5"/>
          <c:order val="5"/>
          <c:tx>
            <c:v>G&amp;A</c:v>
          </c:tx>
          <c:spPr>
            <a:solidFill>
              <a:srgbClr val="9AA7B5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'KPI Dashboard'!$C$56:$AL$56</c:f>
              <c:numCache>
                <c:formatCode>mmm\-yy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'KPI Dashboard'!$C$85:$AL$85</c:f>
              <c:numCache>
                <c:formatCode>#,##0.0;\(#,##0.0\);\-</c:formatCode>
                <c:ptCount val="36"/>
                <c:pt idx="0">
                  <c:v>5.083333333333333</c:v>
                </c:pt>
                <c:pt idx="1">
                  <c:v>5.1666666666666661</c:v>
                </c:pt>
                <c:pt idx="2">
                  <c:v>5.2499999999999991</c:v>
                </c:pt>
                <c:pt idx="3">
                  <c:v>5.3333333333333321</c:v>
                </c:pt>
                <c:pt idx="4">
                  <c:v>5.4166666666666652</c:v>
                </c:pt>
                <c:pt idx="5">
                  <c:v>5.4999999999999982</c:v>
                </c:pt>
                <c:pt idx="6">
                  <c:v>5.5833333333333313</c:v>
                </c:pt>
                <c:pt idx="7">
                  <c:v>5.6666666666666643</c:v>
                </c:pt>
                <c:pt idx="8">
                  <c:v>5.7499999999999973</c:v>
                </c:pt>
                <c:pt idx="9">
                  <c:v>5.8333333333333304</c:v>
                </c:pt>
                <c:pt idx="10">
                  <c:v>5.9166666666666634</c:v>
                </c:pt>
                <c:pt idx="11">
                  <c:v>5.9999999999999964</c:v>
                </c:pt>
                <c:pt idx="12">
                  <c:v>6.0833333333333295</c:v>
                </c:pt>
                <c:pt idx="13">
                  <c:v>6.1666666666666625</c:v>
                </c:pt>
                <c:pt idx="14">
                  <c:v>6.2499999999999956</c:v>
                </c:pt>
                <c:pt idx="15">
                  <c:v>6.3333333333333286</c:v>
                </c:pt>
                <c:pt idx="16">
                  <c:v>6.4166666666666616</c:v>
                </c:pt>
                <c:pt idx="17">
                  <c:v>6.4999999999999947</c:v>
                </c:pt>
                <c:pt idx="18">
                  <c:v>6.5833333333333277</c:v>
                </c:pt>
                <c:pt idx="19">
                  <c:v>6.6666666666666607</c:v>
                </c:pt>
                <c:pt idx="20">
                  <c:v>6.7499999999999938</c:v>
                </c:pt>
                <c:pt idx="21">
                  <c:v>6.8333333333333268</c:v>
                </c:pt>
                <c:pt idx="22">
                  <c:v>6.9166666666666599</c:v>
                </c:pt>
                <c:pt idx="23">
                  <c:v>6.9999999999999929</c:v>
                </c:pt>
                <c:pt idx="24">
                  <c:v>7.0833333333333259</c:v>
                </c:pt>
                <c:pt idx="25">
                  <c:v>7.166666666666659</c:v>
                </c:pt>
                <c:pt idx="26">
                  <c:v>7.249999999999992</c:v>
                </c:pt>
                <c:pt idx="27">
                  <c:v>7.333333333333325</c:v>
                </c:pt>
                <c:pt idx="28">
                  <c:v>7.4166666666666581</c:v>
                </c:pt>
                <c:pt idx="29">
                  <c:v>7.4999999999999911</c:v>
                </c:pt>
                <c:pt idx="30">
                  <c:v>7.5833333333333242</c:v>
                </c:pt>
                <c:pt idx="31">
                  <c:v>7.6666666666666572</c:v>
                </c:pt>
                <c:pt idx="32">
                  <c:v>7.7499999999999902</c:v>
                </c:pt>
                <c:pt idx="33">
                  <c:v>7.8333333333333233</c:v>
                </c:pt>
                <c:pt idx="34">
                  <c:v>7.9166666666666563</c:v>
                </c:pt>
                <c:pt idx="35">
                  <c:v>7.9999999999999893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FC-4158-991B-40F1D81E6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4115120"/>
        <c:axId val="87484297"/>
      </c:barChart>
      <c:dateAx>
        <c:axId val="8411512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C9CFD6"/>
            </a:solidFill>
            <a:round/>
          </a:ln>
        </c:spPr>
        <c:txPr>
          <a:bodyPr/>
          <a:lstStyle/>
          <a:p>
            <a:pPr>
              <a:defRPr sz="800" b="0" u="none" strike="noStrike">
                <a:solidFill>
                  <a:srgbClr val="8A94A0"/>
                </a:solidFill>
                <a:uFillTx/>
                <a:latin typeface="Aptos"/>
              </a:defRPr>
            </a:pPr>
            <a:endParaRPr lang="en-PK"/>
          </a:p>
        </c:txPr>
        <c:crossAx val="87484297"/>
        <c:crosses val="autoZero"/>
        <c:auto val="1"/>
        <c:lblOffset val="100"/>
        <c:baseTimeUnit val="months"/>
      </c:dateAx>
      <c:valAx>
        <c:axId val="87484297"/>
        <c:scaling>
          <c:orientation val="minMax"/>
        </c:scaling>
        <c:delete val="0"/>
        <c:axPos val="l"/>
        <c:majorGridlines>
          <c:spPr>
            <a:ln w="9360">
              <a:solidFill>
                <a:srgbClr val="E3E0DA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u="none" strike="noStrike">
                <a:solidFill>
                  <a:srgbClr val="8A94A0"/>
                </a:solidFill>
                <a:uFillTx/>
                <a:latin typeface="Aptos"/>
              </a:defRPr>
            </a:pPr>
            <a:endParaRPr lang="en-PK"/>
          </a:p>
        </c:txPr>
        <c:crossAx val="841151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u="none" strike="noStrike">
              <a:solidFill>
                <a:srgbClr val="8A94A0"/>
              </a:solidFill>
              <a:uFillTx/>
              <a:latin typeface="Aptos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050" b="1" u="none" strike="noStrike">
                <a:solidFill>
                  <a:srgbClr val="203040"/>
                </a:solidFill>
                <a:uFillTx/>
                <a:latin typeface="Bahnschrift SemiBold"/>
              </a:rPr>
              <a:t>ARR growth waterfall, Jan-26 to Dec-28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'KPI Dashboard'!$C$89:$G$89</c:f>
              <c:strCache>
                <c:ptCount val="5"/>
                <c:pt idx="0">
                  <c:v>Opening ARR</c:v>
                </c:pt>
                <c:pt idx="1">
                  <c:v>New business</c:v>
                </c:pt>
                <c:pt idx="2">
                  <c:v>Expansion</c:v>
                </c:pt>
                <c:pt idx="3">
                  <c:v>Churn</c:v>
                </c:pt>
                <c:pt idx="4">
                  <c:v>Closing ARR</c:v>
                </c:pt>
              </c:strCache>
            </c:strRef>
          </c:cat>
          <c:val>
            <c:numRef>
              <c:f>'KPI Dashboard'!$C$90:$G$90</c:f>
              <c:numCache>
                <c:formatCode>\$#,##0.0,,\m</c:formatCode>
                <c:ptCount val="5"/>
                <c:pt idx="0">
                  <c:v>0</c:v>
                </c:pt>
                <c:pt idx="1">
                  <c:v>3996000</c:v>
                </c:pt>
                <c:pt idx="2">
                  <c:v>15621403.890359709</c:v>
                </c:pt>
                <c:pt idx="3">
                  <c:v>15461650.117644239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A-42CA-9AC6-3A413717894E}"/>
            </c:ext>
          </c:extLst>
        </c:ser>
        <c:ser>
          <c:idx val="1"/>
          <c:order val="1"/>
          <c:spPr>
            <a:solidFill>
              <a:srgbClr val="203040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'KPI Dashboard'!$C$89:$G$89</c:f>
              <c:strCache>
                <c:ptCount val="5"/>
                <c:pt idx="0">
                  <c:v>Opening ARR</c:v>
                </c:pt>
                <c:pt idx="1">
                  <c:v>New business</c:v>
                </c:pt>
                <c:pt idx="2">
                  <c:v>Expansion</c:v>
                </c:pt>
                <c:pt idx="3">
                  <c:v>Churn</c:v>
                </c:pt>
                <c:pt idx="4">
                  <c:v>Closing ARR</c:v>
                </c:pt>
              </c:strCache>
            </c:strRef>
          </c:cat>
          <c:val>
            <c:numRef>
              <c:f>'KPI Dashboard'!$C$91:$G$91</c:f>
              <c:numCache>
                <c:formatCode>\$#,##0.0,,\m</c:formatCode>
                <c:ptCount val="5"/>
                <c:pt idx="0">
                  <c:v>3996000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15461650.117644239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0A-42CA-9AC6-3A413717894E}"/>
            </c:ext>
          </c:extLst>
        </c:ser>
        <c:ser>
          <c:idx val="2"/>
          <c:order val="2"/>
          <c:spPr>
            <a:solidFill>
              <a:srgbClr val="4F7C5A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'KPI Dashboard'!$C$89:$G$89</c:f>
              <c:strCache>
                <c:ptCount val="5"/>
                <c:pt idx="0">
                  <c:v>Opening ARR</c:v>
                </c:pt>
                <c:pt idx="1">
                  <c:v>New business</c:v>
                </c:pt>
                <c:pt idx="2">
                  <c:v>Expansion</c:v>
                </c:pt>
                <c:pt idx="3">
                  <c:v>Churn</c:v>
                </c:pt>
                <c:pt idx="4">
                  <c:v>Closing ARR</c:v>
                </c:pt>
              </c:strCache>
            </c:strRef>
          </c:cat>
          <c:val>
            <c:numRef>
              <c:f>'KPI Dashboard'!$C$92:$G$92</c:f>
              <c:numCache>
                <c:formatCode>\$#,##0.0,,\m</c:formatCode>
                <c:ptCount val="5"/>
                <c:pt idx="0">
                  <c:v>0</c:v>
                </c:pt>
                <c:pt idx="1">
                  <c:v>11625403.890359709</c:v>
                </c:pt>
                <c:pt idx="2">
                  <c:v>3224323.8968375623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0A-42CA-9AC6-3A413717894E}"/>
            </c:ext>
          </c:extLst>
        </c:ser>
        <c:ser>
          <c:idx val="3"/>
          <c:order val="3"/>
          <c:spPr>
            <a:solidFill>
              <a:srgbClr val="A63A3A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'KPI Dashboard'!$C$89:$G$89</c:f>
              <c:strCache>
                <c:ptCount val="5"/>
                <c:pt idx="0">
                  <c:v>Opening ARR</c:v>
                </c:pt>
                <c:pt idx="1">
                  <c:v>New business</c:v>
                </c:pt>
                <c:pt idx="2">
                  <c:v>Expansion</c:v>
                </c:pt>
                <c:pt idx="3">
                  <c:v>Churn</c:v>
                </c:pt>
                <c:pt idx="4">
                  <c:v>Closing ARR</c:v>
                </c:pt>
              </c:strCache>
            </c:strRef>
          </c:cat>
          <c:val>
            <c:numRef>
              <c:f>'KPI Dashboard'!$C$93:$G$93</c:f>
              <c:numCache>
                <c:formatCode>\$#,##0.0,,\m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3384077.6695530345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0A-42CA-9AC6-3A4137178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52097038"/>
        <c:axId val="8072333"/>
      </c:barChart>
      <c:catAx>
        <c:axId val="520970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C9CFD6"/>
            </a:solidFill>
            <a:round/>
          </a:ln>
        </c:spPr>
        <c:txPr>
          <a:bodyPr/>
          <a:lstStyle/>
          <a:p>
            <a:pPr>
              <a:defRPr sz="800" b="0" u="none" strike="noStrike">
                <a:solidFill>
                  <a:srgbClr val="8A94A0"/>
                </a:solidFill>
                <a:uFillTx/>
                <a:latin typeface="Aptos"/>
              </a:defRPr>
            </a:pPr>
            <a:endParaRPr lang="en-PK"/>
          </a:p>
        </c:txPr>
        <c:crossAx val="8072333"/>
        <c:crosses val="autoZero"/>
        <c:auto val="1"/>
        <c:lblAlgn val="ctr"/>
        <c:lblOffset val="100"/>
        <c:noMultiLvlLbl val="0"/>
      </c:catAx>
      <c:valAx>
        <c:axId val="8072333"/>
        <c:scaling>
          <c:orientation val="minMax"/>
        </c:scaling>
        <c:delete val="0"/>
        <c:axPos val="l"/>
        <c:majorGridlines>
          <c:spPr>
            <a:ln w="9360">
              <a:solidFill>
                <a:srgbClr val="E3E0DA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u="none" strike="noStrike">
                <a:solidFill>
                  <a:srgbClr val="8A94A0"/>
                </a:solidFill>
                <a:uFillTx/>
                <a:latin typeface="Aptos"/>
              </a:defRPr>
            </a:pPr>
            <a:endParaRPr lang="en-PK"/>
          </a:p>
        </c:txPr>
        <c:crossAx val="520970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9</xdr:col>
      <xdr:colOff>263520</xdr:colOff>
      <xdr:row>35</xdr:row>
      <xdr:rowOff>165960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20</xdr:row>
      <xdr:rowOff>0</xdr:rowOff>
    </xdr:from>
    <xdr:to>
      <xdr:col>18</xdr:col>
      <xdr:colOff>263520</xdr:colOff>
      <xdr:row>35</xdr:row>
      <xdr:rowOff>165960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20</xdr:row>
      <xdr:rowOff>0</xdr:rowOff>
    </xdr:from>
    <xdr:to>
      <xdr:col>27</xdr:col>
      <xdr:colOff>263160</xdr:colOff>
      <xdr:row>35</xdr:row>
      <xdr:rowOff>165960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37</xdr:row>
      <xdr:rowOff>0</xdr:rowOff>
    </xdr:from>
    <xdr:to>
      <xdr:col>9</xdr:col>
      <xdr:colOff>263520</xdr:colOff>
      <xdr:row>51</xdr:row>
      <xdr:rowOff>350470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37</xdr:row>
      <xdr:rowOff>0</xdr:rowOff>
    </xdr:from>
    <xdr:to>
      <xdr:col>18</xdr:col>
      <xdr:colOff>263520</xdr:colOff>
      <xdr:row>51</xdr:row>
      <xdr:rowOff>350470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v11.xlsx" TargetMode="External"/><Relationship Id="rId3" Type="http://schemas.openxmlformats.org/officeDocument/2006/relationships/hyperlink" Target="v11.xlsx" TargetMode="External"/><Relationship Id="rId7" Type="http://schemas.openxmlformats.org/officeDocument/2006/relationships/hyperlink" Target="v11.xlsx" TargetMode="External"/><Relationship Id="rId2" Type="http://schemas.openxmlformats.org/officeDocument/2006/relationships/hyperlink" Target="v11.xlsx" TargetMode="External"/><Relationship Id="rId1" Type="http://schemas.openxmlformats.org/officeDocument/2006/relationships/hyperlink" Target="v11.xlsx" TargetMode="External"/><Relationship Id="rId6" Type="http://schemas.openxmlformats.org/officeDocument/2006/relationships/hyperlink" Target="v11.xlsx" TargetMode="External"/><Relationship Id="rId5" Type="http://schemas.openxmlformats.org/officeDocument/2006/relationships/hyperlink" Target="v11.xlsx" TargetMode="External"/><Relationship Id="rId4" Type="http://schemas.openxmlformats.org/officeDocument/2006/relationships/hyperlink" Target="v11.xlsx" TargetMode="External"/><Relationship Id="rId9" Type="http://schemas.openxmlformats.org/officeDocument/2006/relationships/hyperlink" Target="v11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v11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v11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v11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v11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v11.xls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v11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v11.xlsx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v11.xlsx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v11.xlsx" TargetMode="External"/><Relationship Id="rId1" Type="http://schemas.openxmlformats.org/officeDocument/2006/relationships/hyperlink" Target="v11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040"/>
    <pageSetUpPr fitToPage="1"/>
  </sheetPr>
  <dimension ref="A1:K51"/>
  <sheetViews>
    <sheetView showGridLines="0" tabSelected="1" topLeftCell="A31" zoomScaleNormal="100" workbookViewId="0">
      <selection activeCell="D37" sqref="D37"/>
    </sheetView>
  </sheetViews>
  <sheetFormatPr defaultColWidth="8.6328125" defaultRowHeight="14.5" x14ac:dyDescent="0.35"/>
  <cols>
    <col min="1" max="1" width="3" customWidth="1"/>
    <col min="2" max="10" width="14" customWidth="1"/>
    <col min="11" max="38" width="11.453125" customWidth="1"/>
    <col min="39" max="39" width="2" customWidth="1"/>
    <col min="40" max="42" width="13.453125" customWidth="1"/>
  </cols>
  <sheetData>
    <row r="1" spans="1:1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9.5" x14ac:dyDescent="0.9">
      <c r="A4" s="1"/>
      <c r="B4" s="2" t="s">
        <v>0</v>
      </c>
      <c r="C4" s="1"/>
      <c r="D4" s="1"/>
      <c r="E4" s="1"/>
      <c r="F4" s="1"/>
      <c r="G4" s="1"/>
      <c r="H4" s="1"/>
      <c r="I4" s="1"/>
      <c r="J4" s="1"/>
      <c r="K4" s="1"/>
    </row>
    <row r="5" spans="1:11" ht="17" x14ac:dyDescent="0.4">
      <c r="A5" s="1"/>
      <c r="B5" s="3" t="s">
        <v>1</v>
      </c>
      <c r="C5" s="1"/>
      <c r="D5" s="1"/>
      <c r="E5" s="1"/>
      <c r="F5" s="1"/>
      <c r="G5" s="1"/>
      <c r="H5" s="1"/>
      <c r="I5" s="1"/>
      <c r="J5" s="1"/>
      <c r="K5" s="1"/>
    </row>
    <row r="6" spans="1:11" x14ac:dyDescent="0.35">
      <c r="A6" s="1"/>
      <c r="B6" s="4" t="s">
        <v>2</v>
      </c>
      <c r="C6" s="1"/>
      <c r="D6" s="1"/>
      <c r="E6" s="1"/>
      <c r="F6" s="1"/>
      <c r="G6" s="1"/>
      <c r="H6" s="1"/>
      <c r="I6" s="1"/>
      <c r="J6" s="1"/>
      <c r="K6" s="1"/>
    </row>
    <row r="7" spans="1:1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.75" customHeight="1" x14ac:dyDescent="0.35">
      <c r="A8" s="1"/>
      <c r="B8" s="5"/>
      <c r="C8" s="5"/>
      <c r="D8" s="5"/>
      <c r="E8" s="5"/>
      <c r="F8" s="5"/>
      <c r="G8" s="5"/>
      <c r="H8" s="5"/>
      <c r="I8" s="5"/>
      <c r="J8" s="1"/>
      <c r="K8" s="1"/>
    </row>
    <row r="9" spans="1:1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6.5" x14ac:dyDescent="0.35">
      <c r="A10" s="1"/>
      <c r="B10" s="6" t="s">
        <v>3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5">
      <c r="A12" s="1"/>
      <c r="B12" s="7" t="s">
        <v>4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5">
      <c r="A13" s="1"/>
      <c r="B13" s="7" t="s">
        <v>5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5">
      <c r="A14" s="1"/>
      <c r="B14" s="7" t="s">
        <v>6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1"/>
      <c r="B15" s="7" t="s">
        <v>7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5">
      <c r="A16" s="1"/>
      <c r="B16" s="7" t="s">
        <v>8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6.5" x14ac:dyDescent="0.35">
      <c r="A19" s="1"/>
      <c r="B19" s="6" t="s">
        <v>9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/>
      <c r="B21" s="8" t="s">
        <v>10</v>
      </c>
      <c r="C21" s="1"/>
      <c r="D21" s="9" t="s">
        <v>11</v>
      </c>
      <c r="E21" s="1"/>
      <c r="F21" s="1"/>
      <c r="G21" s="1"/>
      <c r="H21" s="1"/>
      <c r="I21" s="1"/>
      <c r="J21" s="1"/>
      <c r="K21" s="1"/>
    </row>
    <row r="22" spans="1:11" x14ac:dyDescent="0.35">
      <c r="A22" s="1"/>
      <c r="B22" s="8" t="s">
        <v>12</v>
      </c>
      <c r="C22" s="1"/>
      <c r="D22" s="9" t="s">
        <v>13</v>
      </c>
      <c r="E22" s="1"/>
      <c r="F22" s="1"/>
      <c r="G22" s="1"/>
      <c r="H22" s="1"/>
      <c r="I22" s="1"/>
      <c r="J22" s="1"/>
      <c r="K22" s="1"/>
    </row>
    <row r="23" spans="1:11" x14ac:dyDescent="0.35">
      <c r="A23" s="1"/>
      <c r="B23" s="8" t="s">
        <v>14</v>
      </c>
      <c r="C23" s="1"/>
      <c r="D23" s="9" t="s">
        <v>15</v>
      </c>
      <c r="E23" s="1"/>
      <c r="F23" s="1"/>
      <c r="G23" s="1"/>
      <c r="H23" s="1"/>
      <c r="I23" s="1"/>
      <c r="J23" s="1"/>
      <c r="K23" s="1"/>
    </row>
    <row r="24" spans="1:11" x14ac:dyDescent="0.35">
      <c r="A24" s="1"/>
      <c r="B24" s="8" t="s">
        <v>16</v>
      </c>
      <c r="C24" s="1"/>
      <c r="D24" s="9" t="s">
        <v>17</v>
      </c>
      <c r="E24" s="1"/>
      <c r="F24" s="1"/>
      <c r="G24" s="1"/>
      <c r="H24" s="1"/>
      <c r="I24" s="1"/>
      <c r="J24" s="1"/>
      <c r="K24" s="1"/>
    </row>
    <row r="25" spans="1:11" x14ac:dyDescent="0.35">
      <c r="A25" s="1"/>
      <c r="B25" s="8" t="s">
        <v>18</v>
      </c>
      <c r="C25" s="1"/>
      <c r="D25" s="9" t="s">
        <v>19</v>
      </c>
      <c r="E25" s="1"/>
      <c r="F25" s="1"/>
      <c r="G25" s="1"/>
      <c r="H25" s="1"/>
      <c r="I25" s="1"/>
      <c r="J25" s="1"/>
      <c r="K25" s="1"/>
    </row>
    <row r="26" spans="1:11" x14ac:dyDescent="0.35">
      <c r="A26" s="1"/>
      <c r="B26" s="8" t="s">
        <v>20</v>
      </c>
      <c r="C26" s="1"/>
      <c r="D26" s="9" t="s">
        <v>21</v>
      </c>
      <c r="E26" s="1"/>
      <c r="F26" s="1"/>
      <c r="G26" s="1"/>
      <c r="H26" s="1"/>
      <c r="I26" s="1"/>
      <c r="J26" s="1"/>
      <c r="K26" s="1"/>
    </row>
    <row r="27" spans="1:11" x14ac:dyDescent="0.35">
      <c r="A27" s="1"/>
      <c r="B27" s="8" t="s">
        <v>22</v>
      </c>
      <c r="C27" s="1"/>
      <c r="D27" s="9" t="s">
        <v>23</v>
      </c>
      <c r="E27" s="1"/>
      <c r="F27" s="1"/>
      <c r="G27" s="1"/>
      <c r="H27" s="1"/>
      <c r="I27" s="1"/>
      <c r="J27" s="1"/>
      <c r="K27" s="1"/>
    </row>
    <row r="28" spans="1:11" x14ac:dyDescent="0.35">
      <c r="A28" s="1"/>
      <c r="B28" s="8" t="s">
        <v>24</v>
      </c>
      <c r="C28" s="1"/>
      <c r="D28" s="9" t="s">
        <v>25</v>
      </c>
      <c r="E28" s="1"/>
      <c r="F28" s="1"/>
      <c r="G28" s="1"/>
      <c r="H28" s="1"/>
      <c r="I28" s="1"/>
      <c r="J28" s="1"/>
      <c r="K28" s="1"/>
    </row>
    <row r="29" spans="1:11" x14ac:dyDescent="0.35">
      <c r="A29" s="1"/>
      <c r="B29" s="8" t="s">
        <v>26</v>
      </c>
      <c r="C29" s="1"/>
      <c r="D29" s="9" t="s">
        <v>27</v>
      </c>
      <c r="E29" s="1"/>
      <c r="F29" s="1"/>
      <c r="G29" s="1"/>
      <c r="H29" s="1"/>
      <c r="I29" s="1"/>
      <c r="J29" s="1"/>
      <c r="K29" s="1"/>
    </row>
    <row r="30" spans="1:1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6.5" x14ac:dyDescent="0.35">
      <c r="A32" s="1"/>
      <c r="B32" s="6" t="s">
        <v>28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5">
      <c r="A34" s="1"/>
      <c r="B34" s="9" t="s">
        <v>29</v>
      </c>
      <c r="C34" s="1"/>
      <c r="D34" s="10" t="str">
        <f>"1.0"</f>
        <v>1.0</v>
      </c>
      <c r="E34" s="1"/>
      <c r="F34" s="1"/>
      <c r="G34" s="1"/>
      <c r="H34" s="1"/>
      <c r="I34" s="1"/>
      <c r="J34" s="1"/>
      <c r="K34" s="1"/>
    </row>
    <row r="35" spans="1:11" x14ac:dyDescent="0.35">
      <c r="A35" s="1"/>
      <c r="B35" s="9" t="s">
        <v>30</v>
      </c>
      <c r="C35" s="1"/>
      <c r="D35" s="10" t="str">
        <f>"Soban Farid"</f>
        <v>Soban Farid</v>
      </c>
      <c r="E35" s="1"/>
      <c r="F35" s="1"/>
      <c r="G35" s="1"/>
      <c r="H35" s="1"/>
      <c r="I35" s="1"/>
      <c r="J35" s="1"/>
      <c r="K35" s="1"/>
    </row>
    <row r="36" spans="1:11" x14ac:dyDescent="0.35">
      <c r="A36" s="1"/>
      <c r="B36" s="9" t="s">
        <v>31</v>
      </c>
      <c r="C36" s="1"/>
      <c r="D36" s="11">
        <f ca="1">TODAY()</f>
        <v>46215</v>
      </c>
      <c r="E36" s="1"/>
      <c r="F36" s="1"/>
      <c r="G36" s="1"/>
      <c r="H36" s="1"/>
      <c r="I36" s="1"/>
      <c r="J36" s="1"/>
      <c r="K36" s="1"/>
    </row>
    <row r="37" spans="1:11" x14ac:dyDescent="0.35">
      <c r="A37" s="1"/>
      <c r="B37" s="9" t="s">
        <v>32</v>
      </c>
      <c r="C37" s="1"/>
      <c r="D37" s="10" t="str">
        <f>ScenarioSel</f>
        <v>Base</v>
      </c>
      <c r="E37" s="1"/>
      <c r="F37" s="1"/>
      <c r="G37" s="1"/>
      <c r="H37" s="1"/>
      <c r="I37" s="1"/>
      <c r="J37" s="1"/>
      <c r="K37" s="1"/>
    </row>
    <row r="38" spans="1:1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5">
      <c r="A39" s="1"/>
      <c r="B39" s="12" t="s">
        <v>33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</sheetData>
  <hyperlinks>
    <hyperlink ref="B21" r:id="rId1" location="'Instructions'!A1" xr:uid="{00000000-0004-0000-0000-000000000000}"/>
    <hyperlink ref="B22" r:id="rId2" location="'Assumptions'!A1" xr:uid="{00000000-0004-0000-0000-000001000000}"/>
    <hyperlink ref="B23" r:id="rId3" location="'Scenario%20Manager'!A1" xr:uid="{00000000-0004-0000-0000-000002000000}"/>
    <hyperlink ref="B24" r:id="rId4" location="'Revenue%20Model'!A1" xr:uid="{00000000-0004-0000-0000-000003000000}"/>
    <hyperlink ref="B25" r:id="rId5" location="'Headcount'!A1" xr:uid="{00000000-0004-0000-0000-000004000000}"/>
    <hyperlink ref="B26" r:id="rId6" location="'Operating%20Expenses'!A1" xr:uid="{00000000-0004-0000-0000-000005000000}"/>
    <hyperlink ref="B27" r:id="rId7" location="'Income%20Statement'!A1" xr:uid="{00000000-0004-0000-0000-000006000000}"/>
    <hyperlink ref="B28" r:id="rId8" location="'Cash%20Flow'!A1" xr:uid="{00000000-0004-0000-0000-000007000000}"/>
    <hyperlink ref="B29" r:id="rId9" location="'KPI%20Dashboard'!A1" xr:uid="{00000000-0004-0000-0000-000008000000}"/>
  </hyperlinks>
  <pageMargins left="0.75" right="0.75" top="1" bottom="1" header="0.5" footer="0.5"/>
  <pageSetup fitToHeight="0" orientation="landscape" horizontalDpi="300" verticalDpi="300"/>
  <headerFooter>
    <oddHeader>&amp;LNovaFlow Analytics&amp;RCover</oddHeader>
    <oddFooter>&amp;LFP&amp;&amp;A Planning Model v1.0&amp;CConfidential&amp;RPage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F8FAF"/>
    <pageSetUpPr fitToPage="1"/>
  </sheetPr>
  <dimension ref="A1:AP68"/>
  <sheetViews>
    <sheetView showGridLines="0" topLeftCell="A42" zoomScaleNormal="100" workbookViewId="0">
      <selection activeCell="D46" sqref="D46"/>
    </sheetView>
  </sheetViews>
  <sheetFormatPr defaultColWidth="8.6328125" defaultRowHeight="14.5" x14ac:dyDescent="0.35"/>
  <cols>
    <col min="1" max="1" width="34" customWidth="1"/>
    <col min="2" max="8" width="16" customWidth="1"/>
    <col min="9" max="38" width="11.453125" customWidth="1"/>
    <col min="39" max="39" width="2" customWidth="1"/>
    <col min="40" max="42" width="13.453125" customWidth="1"/>
  </cols>
  <sheetData>
    <row r="1" spans="1:42" ht="13.5" customHeight="1" x14ac:dyDescent="0.35">
      <c r="A1" s="13" t="s">
        <v>0</v>
      </c>
      <c r="B1" s="14"/>
      <c r="C1" s="14"/>
      <c r="D1" s="14"/>
      <c r="E1" s="15" t="s">
        <v>34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 spans="1:42" ht="21.75" customHeight="1" x14ac:dyDescent="0.45">
      <c r="A2" s="16" t="s">
        <v>35</v>
      </c>
      <c r="B2" s="14"/>
      <c r="C2" s="14"/>
      <c r="D2" s="14"/>
      <c r="E2" s="17" t="s">
        <v>36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ht="3.75" customHeigh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</row>
    <row r="5" spans="1:42" ht="16.5" x14ac:dyDescent="0.35">
      <c r="A5" s="19" t="s">
        <v>37</v>
      </c>
    </row>
    <row r="6" spans="1:42" x14ac:dyDescent="0.35">
      <c r="A6" s="20" t="s">
        <v>38</v>
      </c>
    </row>
    <row r="7" spans="1:42" x14ac:dyDescent="0.35">
      <c r="A7" s="20" t="s">
        <v>39</v>
      </c>
    </row>
    <row r="8" spans="1:42" x14ac:dyDescent="0.35">
      <c r="A8" s="20" t="s">
        <v>40</v>
      </c>
    </row>
    <row r="9" spans="1:42" x14ac:dyDescent="0.35">
      <c r="A9" s="20" t="s">
        <v>41</v>
      </c>
    </row>
    <row r="10" spans="1:42" x14ac:dyDescent="0.35">
      <c r="A10" s="20"/>
    </row>
    <row r="11" spans="1:42" x14ac:dyDescent="0.35">
      <c r="A11" s="20" t="s">
        <v>42</v>
      </c>
    </row>
    <row r="12" spans="1:42" x14ac:dyDescent="0.35">
      <c r="A12" s="20" t="s">
        <v>43</v>
      </c>
    </row>
    <row r="13" spans="1:42" x14ac:dyDescent="0.35">
      <c r="A13" s="20" t="s">
        <v>44</v>
      </c>
    </row>
    <row r="14" spans="1:42" x14ac:dyDescent="0.35">
      <c r="A14" s="20" t="s">
        <v>45</v>
      </c>
    </row>
    <row r="15" spans="1:42" x14ac:dyDescent="0.35">
      <c r="A15" s="20" t="s">
        <v>46</v>
      </c>
    </row>
    <row r="16" spans="1:42" x14ac:dyDescent="0.35">
      <c r="A16" s="20" t="s">
        <v>47</v>
      </c>
    </row>
    <row r="17" spans="1:1" x14ac:dyDescent="0.35">
      <c r="A17" s="20"/>
    </row>
    <row r="18" spans="1:1" x14ac:dyDescent="0.35">
      <c r="A18" s="20" t="s">
        <v>48</v>
      </c>
    </row>
    <row r="19" spans="1:1" x14ac:dyDescent="0.35">
      <c r="A19" s="20" t="s">
        <v>49</v>
      </c>
    </row>
    <row r="20" spans="1:1" x14ac:dyDescent="0.35">
      <c r="A20" s="20" t="s">
        <v>50</v>
      </c>
    </row>
    <row r="21" spans="1:1" x14ac:dyDescent="0.35">
      <c r="A21" s="20" t="s">
        <v>51</v>
      </c>
    </row>
    <row r="22" spans="1:1" x14ac:dyDescent="0.35">
      <c r="A22" s="20" t="s">
        <v>52</v>
      </c>
    </row>
    <row r="23" spans="1:1" x14ac:dyDescent="0.35">
      <c r="A23" s="20" t="s">
        <v>53</v>
      </c>
    </row>
    <row r="25" spans="1:1" ht="16.5" x14ac:dyDescent="0.35">
      <c r="A25" s="19" t="s">
        <v>54</v>
      </c>
    </row>
    <row r="26" spans="1:1" x14ac:dyDescent="0.35">
      <c r="A26" s="20" t="s">
        <v>55</v>
      </c>
    </row>
    <row r="27" spans="1:1" x14ac:dyDescent="0.35">
      <c r="A27" s="20" t="s">
        <v>56</v>
      </c>
    </row>
    <row r="28" spans="1:1" x14ac:dyDescent="0.35">
      <c r="A28" s="20"/>
    </row>
    <row r="29" spans="1:1" x14ac:dyDescent="0.35">
      <c r="A29" s="20" t="s">
        <v>57</v>
      </c>
    </row>
    <row r="30" spans="1:1" x14ac:dyDescent="0.35">
      <c r="A30" s="20" t="s">
        <v>58</v>
      </c>
    </row>
    <row r="31" spans="1:1" x14ac:dyDescent="0.35">
      <c r="A31" s="20" t="s">
        <v>59</v>
      </c>
    </row>
    <row r="32" spans="1:1" x14ac:dyDescent="0.35">
      <c r="A32" s="20" t="s">
        <v>60</v>
      </c>
    </row>
    <row r="33" spans="1:4" x14ac:dyDescent="0.35">
      <c r="A33" s="20"/>
    </row>
    <row r="34" spans="1:4" x14ac:dyDescent="0.35">
      <c r="A34" s="20" t="s">
        <v>61</v>
      </c>
    </row>
    <row r="35" spans="1:4" x14ac:dyDescent="0.35">
      <c r="A35" s="20" t="s">
        <v>62</v>
      </c>
    </row>
    <row r="36" spans="1:4" x14ac:dyDescent="0.35">
      <c r="A36" s="20" t="s">
        <v>63</v>
      </c>
    </row>
    <row r="37" spans="1:4" x14ac:dyDescent="0.35">
      <c r="A37" s="20"/>
    </row>
    <row r="38" spans="1:4" x14ac:dyDescent="0.35">
      <c r="A38" s="20" t="s">
        <v>64</v>
      </c>
    </row>
    <row r="39" spans="1:4" x14ac:dyDescent="0.35">
      <c r="A39" s="20" t="s">
        <v>65</v>
      </c>
    </row>
    <row r="40" spans="1:4" x14ac:dyDescent="0.35">
      <c r="A40" s="20" t="s">
        <v>66</v>
      </c>
    </row>
    <row r="41" spans="1:4" x14ac:dyDescent="0.35">
      <c r="A41" s="20" t="s">
        <v>67</v>
      </c>
    </row>
    <row r="43" spans="1:4" ht="16.5" x14ac:dyDescent="0.35">
      <c r="A43" s="19" t="s">
        <v>68</v>
      </c>
    </row>
    <row r="44" spans="1:4" x14ac:dyDescent="0.35">
      <c r="A44" s="20" t="s">
        <v>69</v>
      </c>
      <c r="D44" s="21">
        <v>1234</v>
      </c>
    </row>
    <row r="45" spans="1:4" x14ac:dyDescent="0.35">
      <c r="A45" s="20" t="s">
        <v>70</v>
      </c>
      <c r="D45" s="22">
        <f>1234</f>
        <v>1234</v>
      </c>
    </row>
    <row r="46" spans="1:4" x14ac:dyDescent="0.35">
      <c r="A46" s="20" t="s">
        <v>71</v>
      </c>
      <c r="D46" s="23" t="str">
        <f>Cover!B4</f>
        <v>NOVAFLOW ANALYTICS</v>
      </c>
    </row>
    <row r="47" spans="1:4" x14ac:dyDescent="0.35">
      <c r="A47" s="24" t="s">
        <v>72</v>
      </c>
    </row>
    <row r="49" spans="1:5" ht="16.5" x14ac:dyDescent="0.35">
      <c r="A49" s="19" t="s">
        <v>73</v>
      </c>
    </row>
    <row r="50" spans="1:5" x14ac:dyDescent="0.35">
      <c r="A50" s="20" t="s">
        <v>74</v>
      </c>
    </row>
    <row r="51" spans="1:5" x14ac:dyDescent="0.35">
      <c r="A51" s="20" t="s">
        <v>75</v>
      </c>
    </row>
    <row r="52" spans="1:5" x14ac:dyDescent="0.35">
      <c r="A52" s="20" t="s">
        <v>76</v>
      </c>
    </row>
    <row r="54" spans="1:5" ht="16.5" x14ac:dyDescent="0.35">
      <c r="A54" s="19" t="s">
        <v>77</v>
      </c>
    </row>
    <row r="55" spans="1:5" x14ac:dyDescent="0.35">
      <c r="A55" s="20" t="s">
        <v>78</v>
      </c>
    </row>
    <row r="56" spans="1:5" x14ac:dyDescent="0.35">
      <c r="A56" s="20" t="s">
        <v>79</v>
      </c>
    </row>
    <row r="57" spans="1:5" x14ac:dyDescent="0.35">
      <c r="A57" s="20" t="s">
        <v>80</v>
      </c>
    </row>
    <row r="58" spans="1:5" x14ac:dyDescent="0.35">
      <c r="A58" s="20" t="s">
        <v>81</v>
      </c>
    </row>
    <row r="61" spans="1:5" ht="16.5" x14ac:dyDescent="0.35">
      <c r="A61" s="19" t="s">
        <v>82</v>
      </c>
    </row>
    <row r="62" spans="1:5" x14ac:dyDescent="0.35">
      <c r="A62" s="25" t="s">
        <v>83</v>
      </c>
      <c r="B62" s="26"/>
      <c r="C62" s="26"/>
      <c r="D62" s="27" t="s">
        <v>84</v>
      </c>
      <c r="E62" s="27" t="s">
        <v>85</v>
      </c>
    </row>
    <row r="63" spans="1:5" x14ac:dyDescent="0.35">
      <c r="A63" s="20" t="s">
        <v>86</v>
      </c>
      <c r="D63" s="28">
        <f>IF(ISNUMBER(MATCH(ScenarioSel,ScenarioList,0)),1,0)</f>
        <v>1</v>
      </c>
      <c r="E63" s="29" t="str">
        <f>IF(ISNUMBER(MATCH(ScenarioSel,ScenarioList,0)),"OK","FAIL")</f>
        <v>OK</v>
      </c>
    </row>
    <row r="64" spans="1:5" x14ac:dyDescent="0.35">
      <c r="A64" s="20" t="s">
        <v>87</v>
      </c>
      <c r="D64" s="30">
        <f>SUM('Income Statement'!AN7:AP7)-SUM('Revenue Model'!C36:AL36)</f>
        <v>0</v>
      </c>
      <c r="E64" s="29" t="str">
        <f>IF(ABS(SUM('Income Statement'!AN7:AP7)-SUM('Revenue Model'!C36:AL36))&lt;1,"OK","FAIL")</f>
        <v>OK</v>
      </c>
    </row>
    <row r="65" spans="1:5" x14ac:dyDescent="0.35">
      <c r="A65" s="20" t="s">
        <v>88</v>
      </c>
      <c r="D65" s="30">
        <f>SUM(Headcount!C34:AL34)-(SUM('Operating Expenses'!C9:AL9)+SUM('Operating Expenses'!C13:AL13)+SUM('Operating Expenses'!C20:AL20)+SUM('Operating Expenses'!C26:AL26))</f>
        <v>0</v>
      </c>
      <c r="E65" s="29" t="str">
        <f>IF(ABS(SUM(Headcount!C34:AL34)-(SUM('Operating Expenses'!C9:AL9)+SUM('Operating Expenses'!C13:AL13)+SUM('Operating Expenses'!C20:AL20)+SUM('Operating Expenses'!C26:AL26)))&lt;1,"OK","FAIL")</f>
        <v>OK</v>
      </c>
    </row>
    <row r="66" spans="1:5" x14ac:dyDescent="0.35">
      <c r="A66" s="20" t="s">
        <v>89</v>
      </c>
      <c r="D66" s="30">
        <f>'Cash Flow'!AL21-(A_Cash0+SUM('Cash Flow'!C17:AL17))</f>
        <v>0</v>
      </c>
      <c r="E66" s="29" t="str">
        <f>IF(ABS('Cash Flow'!AL21-(A_Cash0+SUM('Cash Flow'!C17:AL17)))&lt;1,"OK","FAIL")</f>
        <v>OK</v>
      </c>
    </row>
    <row r="67" spans="1:5" x14ac:dyDescent="0.35">
      <c r="A67" s="20" t="s">
        <v>90</v>
      </c>
      <c r="D67" s="30">
        <f>'Revenue Model'!AL45-'Revenue Model'!AL35</f>
        <v>0</v>
      </c>
      <c r="E67" s="29" t="str">
        <f>IF(ABS('Revenue Model'!AL45-'Revenue Model'!AL35)&lt;1,"OK","FAIL")</f>
        <v>OK</v>
      </c>
    </row>
    <row r="68" spans="1:5" x14ac:dyDescent="0.35">
      <c r="A68" s="20" t="s">
        <v>91</v>
      </c>
      <c r="D68" s="30">
        <f>MIN('Income Statement'!C25:AL25)</f>
        <v>0</v>
      </c>
      <c r="E68" s="29" t="str">
        <f>IF(MIN('Income Statement'!C25:AL25)&gt;=0,"OK","FAIL")</f>
        <v>OK</v>
      </c>
    </row>
  </sheetData>
  <conditionalFormatting sqref="E63:E68">
    <cfRule type="cellIs" dxfId="16" priority="2" operator="equal">
      <formula>"OK"</formula>
    </cfRule>
    <cfRule type="cellIs" dxfId="15" priority="3" operator="equal">
      <formula>"FAIL"</formula>
    </cfRule>
  </conditionalFormatting>
  <hyperlinks>
    <hyperlink ref="E1" r:id="rId1" location="Cover!A1" xr:uid="{00000000-0004-0000-0100-000000000000}"/>
  </hyperlinks>
  <pageMargins left="0.75" right="0.75" top="1" bottom="1" header="0.5" footer="0.5"/>
  <pageSetup fitToHeight="0" orientation="landscape" horizontalDpi="300" verticalDpi="300"/>
  <headerFooter>
    <oddHeader>&amp;LNovaFlow Analytics&amp;RInstructions</oddHeader>
    <oddFooter>&amp;LFP&amp;&amp;A Planning Model v1.0&amp;CConfidential&amp;RPage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F8FAF"/>
    <pageSetUpPr fitToPage="1"/>
  </sheetPr>
  <dimension ref="A1:AP4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36" customWidth="1"/>
    <col min="2" max="2" width="9" customWidth="1"/>
    <col min="3" max="7" width="13" customWidth="1"/>
    <col min="8" max="8" width="11.453125" customWidth="1"/>
    <col min="9" max="9" width="60" customWidth="1"/>
    <col min="10" max="38" width="11.453125" customWidth="1"/>
    <col min="39" max="39" width="2" customWidth="1"/>
    <col min="40" max="42" width="13.453125" customWidth="1"/>
  </cols>
  <sheetData>
    <row r="1" spans="1:42" ht="13.5" customHeight="1" x14ac:dyDescent="0.35">
      <c r="A1" s="13" t="s">
        <v>0</v>
      </c>
      <c r="B1" s="14"/>
      <c r="C1" s="14"/>
      <c r="D1" s="14"/>
      <c r="E1" s="15" t="s">
        <v>34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 spans="1:42" ht="21.75" customHeight="1" x14ac:dyDescent="0.45">
      <c r="A2" s="16" t="s">
        <v>12</v>
      </c>
      <c r="B2" s="14"/>
      <c r="C2" s="14"/>
      <c r="D2" s="14"/>
      <c r="E2" s="17" t="s">
        <v>92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ht="3.75" customHeigh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</row>
    <row r="5" spans="1:42" x14ac:dyDescent="0.35">
      <c r="A5" s="31" t="s">
        <v>93</v>
      </c>
      <c r="B5" s="32"/>
      <c r="C5" s="32"/>
      <c r="D5" s="32"/>
      <c r="E5" s="32"/>
      <c r="F5" s="32"/>
      <c r="G5" s="32"/>
      <c r="H5" s="32"/>
      <c r="I5" s="32"/>
    </row>
    <row r="6" spans="1:42" x14ac:dyDescent="0.35">
      <c r="A6" s="33" t="s">
        <v>94</v>
      </c>
      <c r="B6" s="34" t="s">
        <v>95</v>
      </c>
      <c r="C6" s="35">
        <v>46023</v>
      </c>
      <c r="I6" s="24" t="s">
        <v>96</v>
      </c>
    </row>
    <row r="7" spans="1:42" x14ac:dyDescent="0.35">
      <c r="A7" s="33" t="s">
        <v>97</v>
      </c>
      <c r="B7" s="34" t="s">
        <v>98</v>
      </c>
      <c r="C7" s="21">
        <v>36</v>
      </c>
    </row>
    <row r="9" spans="1:42" x14ac:dyDescent="0.35">
      <c r="A9" s="31" t="s">
        <v>99</v>
      </c>
      <c r="B9" s="32"/>
      <c r="C9" s="32"/>
      <c r="D9" s="32"/>
      <c r="E9" s="32"/>
      <c r="F9" s="32"/>
      <c r="G9" s="32"/>
      <c r="H9" s="32"/>
      <c r="I9" s="32"/>
    </row>
    <row r="10" spans="1:42" x14ac:dyDescent="0.35">
      <c r="A10" s="33" t="s">
        <v>100</v>
      </c>
      <c r="B10" s="34" t="s">
        <v>101</v>
      </c>
      <c r="C10" s="21">
        <v>40</v>
      </c>
      <c r="I10" s="24" t="s">
        <v>102</v>
      </c>
    </row>
    <row r="11" spans="1:42" x14ac:dyDescent="0.35">
      <c r="A11" s="33" t="s">
        <v>103</v>
      </c>
      <c r="B11" s="34" t="s">
        <v>101</v>
      </c>
      <c r="C11" s="21">
        <v>180</v>
      </c>
    </row>
    <row r="12" spans="1:42" x14ac:dyDescent="0.35">
      <c r="A12" s="33" t="s">
        <v>104</v>
      </c>
      <c r="B12" s="34" t="s">
        <v>105</v>
      </c>
      <c r="C12" s="36">
        <v>4500</v>
      </c>
      <c r="I12" s="24" t="s">
        <v>106</v>
      </c>
    </row>
    <row r="13" spans="1:42" x14ac:dyDescent="0.35">
      <c r="A13" s="33" t="s">
        <v>107</v>
      </c>
      <c r="B13" s="34" t="s">
        <v>105</v>
      </c>
      <c r="C13" s="36">
        <v>850</v>
      </c>
      <c r="I13" s="24" t="s">
        <v>108</v>
      </c>
    </row>
    <row r="15" spans="1:42" x14ac:dyDescent="0.35">
      <c r="A15" s="31" t="s">
        <v>109</v>
      </c>
      <c r="B15" s="32"/>
      <c r="C15" s="32"/>
      <c r="D15" s="32"/>
      <c r="E15" s="32"/>
      <c r="F15" s="32"/>
      <c r="G15" s="32"/>
      <c r="H15" s="32"/>
      <c r="I15" s="32"/>
    </row>
    <row r="16" spans="1:42" x14ac:dyDescent="0.35">
      <c r="A16" s="33" t="s">
        <v>110</v>
      </c>
      <c r="B16" s="34" t="s">
        <v>111</v>
      </c>
      <c r="C16" s="37">
        <v>0.09</v>
      </c>
      <c r="I16" s="24" t="s">
        <v>112</v>
      </c>
    </row>
    <row r="17" spans="1:9" x14ac:dyDescent="0.35">
      <c r="A17" s="33" t="s">
        <v>113</v>
      </c>
      <c r="B17" s="34" t="s">
        <v>114</v>
      </c>
      <c r="C17" s="37">
        <v>0.6</v>
      </c>
      <c r="I17" s="24" t="s">
        <v>115</v>
      </c>
    </row>
    <row r="18" spans="1:9" x14ac:dyDescent="0.35">
      <c r="A18" s="33" t="s">
        <v>116</v>
      </c>
      <c r="B18" s="34" t="s">
        <v>105</v>
      </c>
      <c r="C18" s="36">
        <v>150</v>
      </c>
    </row>
    <row r="19" spans="1:9" x14ac:dyDescent="0.35">
      <c r="A19" s="33" t="s">
        <v>117</v>
      </c>
      <c r="B19" s="34" t="s">
        <v>105</v>
      </c>
      <c r="C19" s="36">
        <v>450</v>
      </c>
      <c r="I19" s="24" t="s">
        <v>118</v>
      </c>
    </row>
    <row r="20" spans="1:9" x14ac:dyDescent="0.35">
      <c r="A20" s="33" t="s">
        <v>119</v>
      </c>
      <c r="B20" s="34" t="s">
        <v>120</v>
      </c>
      <c r="C20" s="37">
        <v>0.02</v>
      </c>
      <c r="I20" s="24" t="s">
        <v>121</v>
      </c>
    </row>
    <row r="21" spans="1:9" x14ac:dyDescent="0.35">
      <c r="A21" s="33" t="s">
        <v>122</v>
      </c>
      <c r="B21" s="34" t="s">
        <v>105</v>
      </c>
      <c r="C21" s="36">
        <v>30000</v>
      </c>
      <c r="I21" s="24" t="s">
        <v>123</v>
      </c>
    </row>
    <row r="22" spans="1:9" x14ac:dyDescent="0.35">
      <c r="A22" s="33" t="s">
        <v>124</v>
      </c>
      <c r="B22" s="34" t="s">
        <v>125</v>
      </c>
      <c r="C22" s="37">
        <v>0.05</v>
      </c>
    </row>
    <row r="23" spans="1:9" x14ac:dyDescent="0.35">
      <c r="A23" s="33" t="s">
        <v>126</v>
      </c>
      <c r="B23" s="34" t="s">
        <v>125</v>
      </c>
      <c r="C23" s="37">
        <v>0.2</v>
      </c>
      <c r="I23" s="24" t="s">
        <v>127</v>
      </c>
    </row>
    <row r="25" spans="1:9" x14ac:dyDescent="0.35">
      <c r="A25" s="31" t="s">
        <v>128</v>
      </c>
      <c r="B25" s="32"/>
      <c r="C25" s="32"/>
      <c r="D25" s="32"/>
      <c r="E25" s="32"/>
      <c r="F25" s="32"/>
      <c r="G25" s="32"/>
      <c r="H25" s="32"/>
      <c r="I25" s="32"/>
    </row>
    <row r="26" spans="1:9" x14ac:dyDescent="0.35">
      <c r="A26" s="33" t="s">
        <v>129</v>
      </c>
      <c r="B26" s="34" t="s">
        <v>130</v>
      </c>
      <c r="C26" s="37">
        <v>0.1</v>
      </c>
    </row>
    <row r="27" spans="1:9" x14ac:dyDescent="0.35">
      <c r="A27" s="33" t="s">
        <v>131</v>
      </c>
      <c r="B27" s="34" t="s">
        <v>130</v>
      </c>
      <c r="C27" s="37">
        <v>0.12</v>
      </c>
    </row>
    <row r="28" spans="1:9" x14ac:dyDescent="0.35">
      <c r="A28" s="33" t="s">
        <v>132</v>
      </c>
      <c r="B28" s="34" t="s">
        <v>130</v>
      </c>
      <c r="C28" s="37">
        <v>0.1</v>
      </c>
    </row>
    <row r="29" spans="1:9" x14ac:dyDescent="0.35">
      <c r="A29" s="33" t="s">
        <v>133</v>
      </c>
      <c r="B29" s="34" t="s">
        <v>134</v>
      </c>
      <c r="C29" s="38">
        <f>(1+A_Bonus)*(1+A_Benefits+A_PTax)</f>
        <v>1.3420000000000003</v>
      </c>
      <c r="I29" s="24" t="s">
        <v>135</v>
      </c>
    </row>
    <row r="31" spans="1:9" x14ac:dyDescent="0.35">
      <c r="A31" s="31" t="s">
        <v>136</v>
      </c>
      <c r="B31" s="32"/>
      <c r="C31" s="32"/>
      <c r="D31" s="32"/>
      <c r="E31" s="32"/>
      <c r="F31" s="32"/>
      <c r="G31" s="32"/>
      <c r="H31" s="32"/>
      <c r="I31" s="32"/>
    </row>
    <row r="32" spans="1:9" x14ac:dyDescent="0.35">
      <c r="A32" s="33" t="s">
        <v>137</v>
      </c>
      <c r="B32" s="34" t="s">
        <v>105</v>
      </c>
      <c r="C32" s="36">
        <v>40000</v>
      </c>
      <c r="I32" s="24" t="s">
        <v>138</v>
      </c>
    </row>
    <row r="33" spans="1:9" x14ac:dyDescent="0.35">
      <c r="A33" s="33" t="s">
        <v>139</v>
      </c>
      <c r="B33" s="34" t="s">
        <v>98</v>
      </c>
      <c r="C33" s="21">
        <v>36</v>
      </c>
      <c r="I33" s="24" t="s">
        <v>140</v>
      </c>
    </row>
    <row r="34" spans="1:9" x14ac:dyDescent="0.35">
      <c r="A34" s="33" t="s">
        <v>141</v>
      </c>
      <c r="B34" s="34" t="s">
        <v>114</v>
      </c>
      <c r="C34" s="37">
        <v>0.25</v>
      </c>
      <c r="I34" s="24" t="s">
        <v>142</v>
      </c>
    </row>
    <row r="35" spans="1:9" x14ac:dyDescent="0.35">
      <c r="A35" s="33" t="s">
        <v>143</v>
      </c>
      <c r="B35" s="34" t="s">
        <v>144</v>
      </c>
      <c r="C35" s="36">
        <v>18000000</v>
      </c>
      <c r="I35" s="24" t="s">
        <v>145</v>
      </c>
    </row>
    <row r="36" spans="1:9" x14ac:dyDescent="0.35">
      <c r="A36" s="33" t="s">
        <v>146</v>
      </c>
      <c r="B36" s="34" t="s">
        <v>144</v>
      </c>
      <c r="C36" s="36">
        <v>900000</v>
      </c>
      <c r="I36" s="24" t="s">
        <v>147</v>
      </c>
    </row>
    <row r="38" spans="1:9" x14ac:dyDescent="0.35">
      <c r="A38" s="31" t="s">
        <v>148</v>
      </c>
      <c r="B38" s="32"/>
      <c r="C38" s="32"/>
      <c r="D38" s="32"/>
      <c r="E38" s="32"/>
      <c r="F38" s="32"/>
      <c r="G38" s="32"/>
      <c r="H38" s="32"/>
      <c r="I38" s="39" t="s">
        <v>149</v>
      </c>
    </row>
    <row r="39" spans="1:9" x14ac:dyDescent="0.35">
      <c r="A39" s="40" t="s">
        <v>150</v>
      </c>
      <c r="B39" s="26"/>
      <c r="C39" s="27" t="s">
        <v>151</v>
      </c>
      <c r="D39" s="27" t="s">
        <v>152</v>
      </c>
      <c r="E39" s="41">
        <v>2026</v>
      </c>
      <c r="F39" s="41">
        <v>2027</v>
      </c>
      <c r="G39" s="41">
        <v>2028</v>
      </c>
    </row>
    <row r="40" spans="1:9" x14ac:dyDescent="0.35">
      <c r="A40" s="33" t="s">
        <v>153</v>
      </c>
      <c r="C40" s="42">
        <v>12</v>
      </c>
      <c r="D40" s="36">
        <v>130000</v>
      </c>
      <c r="E40" s="42">
        <v>4</v>
      </c>
      <c r="F40" s="42">
        <v>3</v>
      </c>
      <c r="G40" s="42">
        <v>3</v>
      </c>
    </row>
    <row r="41" spans="1:9" x14ac:dyDescent="0.35">
      <c r="A41" s="33" t="s">
        <v>154</v>
      </c>
      <c r="C41" s="42">
        <v>4</v>
      </c>
      <c r="D41" s="36">
        <v>120000</v>
      </c>
      <c r="E41" s="42">
        <v>1</v>
      </c>
      <c r="F41" s="42">
        <v>1</v>
      </c>
      <c r="G41" s="42">
        <v>1</v>
      </c>
    </row>
    <row r="42" spans="1:9" x14ac:dyDescent="0.35">
      <c r="A42" s="33" t="s">
        <v>155</v>
      </c>
      <c r="C42" s="42">
        <v>8</v>
      </c>
      <c r="D42" s="36">
        <v>105000</v>
      </c>
      <c r="E42" s="42">
        <v>3</v>
      </c>
      <c r="F42" s="42">
        <v>3</v>
      </c>
      <c r="G42" s="42">
        <v>3</v>
      </c>
    </row>
    <row r="43" spans="1:9" x14ac:dyDescent="0.35">
      <c r="A43" s="33" t="s">
        <v>156</v>
      </c>
      <c r="C43" s="42">
        <v>4</v>
      </c>
      <c r="D43" s="36">
        <v>92000</v>
      </c>
      <c r="E43" s="42">
        <v>1</v>
      </c>
      <c r="F43" s="42">
        <v>1</v>
      </c>
      <c r="G43" s="42">
        <v>1</v>
      </c>
    </row>
    <row r="44" spans="1:9" x14ac:dyDescent="0.35">
      <c r="A44" s="33" t="s">
        <v>157</v>
      </c>
      <c r="C44" s="42">
        <v>7</v>
      </c>
      <c r="D44" s="36">
        <v>78000</v>
      </c>
      <c r="E44" s="42">
        <v>2</v>
      </c>
      <c r="F44" s="42">
        <v>3</v>
      </c>
      <c r="G44" s="42">
        <v>3</v>
      </c>
    </row>
    <row r="45" spans="1:9" x14ac:dyDescent="0.35">
      <c r="A45" s="33" t="s">
        <v>158</v>
      </c>
      <c r="C45" s="42">
        <v>5</v>
      </c>
      <c r="D45" s="36">
        <v>100000</v>
      </c>
      <c r="E45" s="42">
        <v>1</v>
      </c>
      <c r="F45" s="42">
        <v>1</v>
      </c>
      <c r="G45" s="42">
        <v>1</v>
      </c>
    </row>
    <row r="47" spans="1:9" x14ac:dyDescent="0.35">
      <c r="A47" s="24" t="s">
        <v>159</v>
      </c>
    </row>
  </sheetData>
  <hyperlinks>
    <hyperlink ref="E1" r:id="rId1" location="Cover!A1" xr:uid="{00000000-0004-0000-0200-000000000000}"/>
  </hyperlinks>
  <pageMargins left="0.75" right="0.75" top="1" bottom="1" header="0.5" footer="0.5"/>
  <pageSetup fitToHeight="0" orientation="landscape" horizontalDpi="300" verticalDpi="300"/>
  <headerFooter>
    <oddHeader>&amp;LNovaFlow Analytics&amp;RAssumptions</oddHeader>
    <oddFooter>&amp;LFP&amp;&amp;A Planning Model v1.0&amp;CConfidential&amp;RPage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49A6C"/>
    <pageSetUpPr fitToPage="1"/>
  </sheetPr>
  <dimension ref="A1:AP24"/>
  <sheetViews>
    <sheetView showGridLines="0" zoomScaleNormal="100" workbookViewId="0">
      <pane ySplit="8" topLeftCell="A9" activePane="bottomLeft" state="frozen"/>
      <selection pane="bottomLeft" activeCell="A6" sqref="A6"/>
    </sheetView>
  </sheetViews>
  <sheetFormatPr defaultColWidth="8.6328125" defaultRowHeight="14.5" x14ac:dyDescent="0.35"/>
  <cols>
    <col min="1" max="1" width="36" customWidth="1"/>
    <col min="2" max="2" width="9" customWidth="1"/>
    <col min="3" max="6" width="13" customWidth="1"/>
    <col min="7" max="7" width="62" customWidth="1"/>
    <col min="8" max="38" width="11.453125" customWidth="1"/>
    <col min="39" max="39" width="2" customWidth="1"/>
    <col min="40" max="42" width="13.453125" customWidth="1"/>
  </cols>
  <sheetData>
    <row r="1" spans="1:42" ht="13.5" customHeight="1" x14ac:dyDescent="0.35">
      <c r="A1" s="13" t="s">
        <v>0</v>
      </c>
      <c r="B1" s="14"/>
      <c r="C1" s="14"/>
      <c r="D1" s="14"/>
      <c r="E1" s="15" t="s">
        <v>34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 spans="1:42" ht="21.75" customHeight="1" x14ac:dyDescent="0.45">
      <c r="A2" s="16" t="s">
        <v>14</v>
      </c>
      <c r="B2" s="14"/>
      <c r="C2" s="14"/>
      <c r="D2" s="14"/>
      <c r="E2" s="17" t="s">
        <v>160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ht="3.75" customHeigh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</row>
    <row r="5" spans="1:42" ht="16.5" x14ac:dyDescent="0.35">
      <c r="A5" s="19" t="s">
        <v>161</v>
      </c>
    </row>
    <row r="6" spans="1:42" ht="16" x14ac:dyDescent="0.4">
      <c r="A6" s="33" t="s">
        <v>162</v>
      </c>
      <c r="C6" s="43" t="s">
        <v>163</v>
      </c>
      <c r="D6" s="24" t="s">
        <v>164</v>
      </c>
    </row>
    <row r="9" spans="1:42" x14ac:dyDescent="0.35">
      <c r="A9" s="40" t="s">
        <v>165</v>
      </c>
      <c r="B9" s="27" t="s">
        <v>166</v>
      </c>
      <c r="C9" s="27" t="s">
        <v>163</v>
      </c>
      <c r="D9" s="27" t="s">
        <v>167</v>
      </c>
      <c r="E9" s="27" t="s">
        <v>168</v>
      </c>
      <c r="F9" s="44" t="s">
        <v>169</v>
      </c>
      <c r="G9" s="25" t="s">
        <v>170</v>
      </c>
    </row>
    <row r="10" spans="1:42" x14ac:dyDescent="0.35">
      <c r="A10" s="33" t="s">
        <v>171</v>
      </c>
      <c r="B10" s="34" t="s">
        <v>172</v>
      </c>
      <c r="C10" s="45">
        <v>3</v>
      </c>
      <c r="D10" s="45">
        <v>4</v>
      </c>
      <c r="E10" s="45">
        <v>2</v>
      </c>
      <c r="F10" s="46">
        <f t="shared" ref="F10:F19" si="0">_xlfn.XLOOKUP(ScenarioSel,ScenarioList,C10:E10)</f>
        <v>3</v>
      </c>
      <c r="G10" s="24" t="s">
        <v>173</v>
      </c>
    </row>
    <row r="11" spans="1:42" x14ac:dyDescent="0.35">
      <c r="A11" s="33" t="s">
        <v>174</v>
      </c>
      <c r="B11" s="34" t="s">
        <v>172</v>
      </c>
      <c r="C11" s="45">
        <v>14</v>
      </c>
      <c r="D11" s="45">
        <v>18</v>
      </c>
      <c r="E11" s="45">
        <v>9</v>
      </c>
      <c r="F11" s="46">
        <f t="shared" si="0"/>
        <v>14</v>
      </c>
      <c r="G11" s="24" t="s">
        <v>175</v>
      </c>
    </row>
    <row r="12" spans="1:42" x14ac:dyDescent="0.35">
      <c r="A12" s="33" t="s">
        <v>176</v>
      </c>
      <c r="B12" s="34" t="s">
        <v>177</v>
      </c>
      <c r="C12" s="47">
        <v>7.0000000000000001E-3</v>
      </c>
      <c r="D12" s="47">
        <v>5.0000000000000001E-3</v>
      </c>
      <c r="E12" s="47">
        <v>0.01</v>
      </c>
      <c r="F12" s="48">
        <f t="shared" si="0"/>
        <v>7.0000000000000001E-3</v>
      </c>
      <c r="G12" s="24" t="s">
        <v>178</v>
      </c>
    </row>
    <row r="13" spans="1:42" x14ac:dyDescent="0.35">
      <c r="A13" s="33" t="s">
        <v>179</v>
      </c>
      <c r="B13" s="34" t="s">
        <v>177</v>
      </c>
      <c r="C13" s="47">
        <v>1.4E-2</v>
      </c>
      <c r="D13" s="47">
        <v>1.2E-2</v>
      </c>
      <c r="E13" s="47">
        <v>0.02</v>
      </c>
      <c r="F13" s="48">
        <f t="shared" si="0"/>
        <v>1.4E-2</v>
      </c>
      <c r="G13" s="24" t="s">
        <v>180</v>
      </c>
    </row>
    <row r="14" spans="1:42" x14ac:dyDescent="0.35">
      <c r="A14" s="33" t="s">
        <v>181</v>
      </c>
      <c r="B14" s="34" t="s">
        <v>177</v>
      </c>
      <c r="C14" s="47">
        <v>1.2E-2</v>
      </c>
      <c r="D14" s="47">
        <v>1.4999999999999999E-2</v>
      </c>
      <c r="E14" s="47">
        <v>8.0000000000000002E-3</v>
      </c>
      <c r="F14" s="48">
        <f t="shared" si="0"/>
        <v>1.2E-2</v>
      </c>
      <c r="G14" s="24" t="s">
        <v>182</v>
      </c>
    </row>
    <row r="15" spans="1:42" x14ac:dyDescent="0.35">
      <c r="A15" s="33" t="s">
        <v>183</v>
      </c>
      <c r="B15" s="34" t="s">
        <v>177</v>
      </c>
      <c r="C15" s="47">
        <v>6.0000000000000001E-3</v>
      </c>
      <c r="D15" s="47">
        <v>8.0000000000000002E-3</v>
      </c>
      <c r="E15" s="47">
        <v>4.0000000000000001E-3</v>
      </c>
      <c r="F15" s="48">
        <f t="shared" si="0"/>
        <v>6.0000000000000001E-3</v>
      </c>
      <c r="G15" s="24" t="s">
        <v>184</v>
      </c>
    </row>
    <row r="16" spans="1:42" x14ac:dyDescent="0.35">
      <c r="A16" s="33" t="s">
        <v>185</v>
      </c>
      <c r="B16" s="34" t="s">
        <v>125</v>
      </c>
      <c r="C16" s="47">
        <v>0.04</v>
      </c>
      <c r="D16" s="47">
        <v>0.06</v>
      </c>
      <c r="E16" s="47">
        <v>0.02</v>
      </c>
      <c r="F16" s="48">
        <f t="shared" si="0"/>
        <v>0.04</v>
      </c>
      <c r="G16" s="24" t="s">
        <v>186</v>
      </c>
    </row>
    <row r="17" spans="1:7" x14ac:dyDescent="0.35">
      <c r="A17" s="33" t="s">
        <v>187</v>
      </c>
      <c r="B17" s="34" t="s">
        <v>134</v>
      </c>
      <c r="C17" s="49">
        <v>1</v>
      </c>
      <c r="D17" s="49">
        <v>1.1499999999999999</v>
      </c>
      <c r="E17" s="49">
        <v>0.75</v>
      </c>
      <c r="F17" s="50">
        <f t="shared" si="0"/>
        <v>1</v>
      </c>
      <c r="G17" s="24" t="s">
        <v>188</v>
      </c>
    </row>
    <row r="18" spans="1:7" x14ac:dyDescent="0.35">
      <c r="A18" s="33" t="s">
        <v>189</v>
      </c>
      <c r="B18" s="34" t="s">
        <v>105</v>
      </c>
      <c r="C18" s="51">
        <v>150000</v>
      </c>
      <c r="D18" s="51">
        <v>175000</v>
      </c>
      <c r="E18" s="51">
        <v>110000</v>
      </c>
      <c r="F18" s="52">
        <f t="shared" si="0"/>
        <v>150000</v>
      </c>
      <c r="G18" s="24" t="s">
        <v>190</v>
      </c>
    </row>
    <row r="19" spans="1:7" x14ac:dyDescent="0.35">
      <c r="A19" s="33" t="s">
        <v>191</v>
      </c>
      <c r="B19" s="34" t="s">
        <v>125</v>
      </c>
      <c r="C19" s="47">
        <v>0.04</v>
      </c>
      <c r="D19" s="47">
        <v>0.05</v>
      </c>
      <c r="E19" s="47">
        <v>0.03</v>
      </c>
      <c r="F19" s="48">
        <f t="shared" si="0"/>
        <v>0.04</v>
      </c>
      <c r="G19" s="24" t="s">
        <v>192</v>
      </c>
    </row>
    <row r="21" spans="1:7" ht="16.5" x14ac:dyDescent="0.35">
      <c r="A21" s="19" t="s">
        <v>193</v>
      </c>
    </row>
    <row r="22" spans="1:7" x14ac:dyDescent="0.35">
      <c r="A22" s="53" t="s">
        <v>163</v>
      </c>
      <c r="C22" s="20" t="s">
        <v>194</v>
      </c>
    </row>
    <row r="23" spans="1:7" x14ac:dyDescent="0.35">
      <c r="A23" s="53" t="s">
        <v>167</v>
      </c>
      <c r="C23" s="20" t="s">
        <v>195</v>
      </c>
    </row>
    <row r="24" spans="1:7" x14ac:dyDescent="0.35">
      <c r="A24" s="53" t="s">
        <v>168</v>
      </c>
      <c r="C24" s="20" t="s">
        <v>196</v>
      </c>
    </row>
  </sheetData>
  <dataValidations count="1">
    <dataValidation type="list" errorTitle="Invalid scenario" error="Choose Base, Optimistic or Downside." sqref="C6" xr:uid="{00000000-0002-0000-0300-000000000000}">
      <formula1>"Base,Optimistic,Downside"</formula1>
      <formula2>0</formula2>
    </dataValidation>
  </dataValidations>
  <hyperlinks>
    <hyperlink ref="E1" r:id="rId1" location="Cover!A1" xr:uid="{00000000-0004-0000-0300-000000000000}"/>
  </hyperlinks>
  <pageMargins left="0.75" right="0.75" top="1" bottom="1" header="0.5" footer="0.5"/>
  <pageSetup fitToHeight="0" orientation="landscape" horizontalDpi="300" verticalDpi="300"/>
  <headerFooter>
    <oddHeader>&amp;LNovaFlow Analytics&amp;RScenario Manager</oddHeader>
    <oddFooter>&amp;LFP&amp;&amp;A Planning Model v1.0&amp;CConfidential&amp;RPage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F8FAF"/>
    <pageSetUpPr fitToPage="1"/>
  </sheetPr>
  <dimension ref="A1:AP54"/>
  <sheetViews>
    <sheetView showGridLines="0" zoomScaleNormal="100" workbookViewId="0">
      <pane xSplit="2" ySplit="5" topLeftCell="C46" activePane="bottomRight" state="frozen"/>
      <selection pane="topRight" activeCell="C1" sqref="C1"/>
      <selection pane="bottomLeft" activeCell="A6" sqref="A6"/>
      <selection pane="bottomRight" activeCell="D10" sqref="D10"/>
    </sheetView>
  </sheetViews>
  <sheetFormatPr defaultColWidth="8.6328125" defaultRowHeight="14.5" x14ac:dyDescent="0.35"/>
  <cols>
    <col min="1" max="1" width="36" customWidth="1"/>
    <col min="2" max="2" width="9" customWidth="1"/>
    <col min="3" max="38" width="11.453125" customWidth="1"/>
    <col min="39" max="39" width="2" customWidth="1"/>
    <col min="40" max="42" width="13.453125" customWidth="1"/>
  </cols>
  <sheetData>
    <row r="1" spans="1:42" ht="13.5" customHeight="1" x14ac:dyDescent="0.35">
      <c r="A1" s="13" t="s">
        <v>0</v>
      </c>
      <c r="B1" s="14"/>
      <c r="C1" s="14"/>
      <c r="D1" s="14"/>
      <c r="E1" s="15" t="s">
        <v>34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 spans="1:42" ht="21.75" customHeight="1" x14ac:dyDescent="0.45">
      <c r="A2" s="16" t="s">
        <v>16</v>
      </c>
      <c r="B2" s="14"/>
      <c r="C2" s="14"/>
      <c r="D2" s="14"/>
      <c r="E2" s="17" t="s">
        <v>197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ht="3.75" customHeigh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</row>
    <row r="5" spans="1:42" x14ac:dyDescent="0.35">
      <c r="A5" s="54" t="s">
        <v>198</v>
      </c>
      <c r="C5" s="55">
        <f>ModelStart</f>
        <v>46023</v>
      </c>
      <c r="D5" s="55">
        <f t="shared" ref="D5:AL5" si="0">EDATE(C5,1)</f>
        <v>46054</v>
      </c>
      <c r="E5" s="55">
        <f t="shared" si="0"/>
        <v>46082</v>
      </c>
      <c r="F5" s="55">
        <f t="shared" si="0"/>
        <v>46113</v>
      </c>
      <c r="G5" s="55">
        <f t="shared" si="0"/>
        <v>46143</v>
      </c>
      <c r="H5" s="55">
        <f t="shared" si="0"/>
        <v>46174</v>
      </c>
      <c r="I5" s="55">
        <f t="shared" si="0"/>
        <v>46204</v>
      </c>
      <c r="J5" s="55">
        <f t="shared" si="0"/>
        <v>46235</v>
      </c>
      <c r="K5" s="55">
        <f t="shared" si="0"/>
        <v>46266</v>
      </c>
      <c r="L5" s="55">
        <f t="shared" si="0"/>
        <v>46296</v>
      </c>
      <c r="M5" s="55">
        <f t="shared" si="0"/>
        <v>46327</v>
      </c>
      <c r="N5" s="55">
        <f t="shared" si="0"/>
        <v>46357</v>
      </c>
      <c r="O5" s="55">
        <f t="shared" si="0"/>
        <v>46388</v>
      </c>
      <c r="P5" s="55">
        <f t="shared" si="0"/>
        <v>46419</v>
      </c>
      <c r="Q5" s="55">
        <f t="shared" si="0"/>
        <v>46447</v>
      </c>
      <c r="R5" s="55">
        <f t="shared" si="0"/>
        <v>46478</v>
      </c>
      <c r="S5" s="55">
        <f t="shared" si="0"/>
        <v>46508</v>
      </c>
      <c r="T5" s="55">
        <f t="shared" si="0"/>
        <v>46539</v>
      </c>
      <c r="U5" s="55">
        <f t="shared" si="0"/>
        <v>46569</v>
      </c>
      <c r="V5" s="55">
        <f t="shared" si="0"/>
        <v>46600</v>
      </c>
      <c r="W5" s="55">
        <f t="shared" si="0"/>
        <v>46631</v>
      </c>
      <c r="X5" s="55">
        <f t="shared" si="0"/>
        <v>46661</v>
      </c>
      <c r="Y5" s="55">
        <f t="shared" si="0"/>
        <v>46692</v>
      </c>
      <c r="Z5" s="55">
        <f t="shared" si="0"/>
        <v>46722</v>
      </c>
      <c r="AA5" s="55">
        <f t="shared" si="0"/>
        <v>46753</v>
      </c>
      <c r="AB5" s="55">
        <f t="shared" si="0"/>
        <v>46784</v>
      </c>
      <c r="AC5" s="55">
        <f t="shared" si="0"/>
        <v>46813</v>
      </c>
      <c r="AD5" s="55">
        <f t="shared" si="0"/>
        <v>46844</v>
      </c>
      <c r="AE5" s="55">
        <f t="shared" si="0"/>
        <v>46874</v>
      </c>
      <c r="AF5" s="55">
        <f t="shared" si="0"/>
        <v>46905</v>
      </c>
      <c r="AG5" s="55">
        <f t="shared" si="0"/>
        <v>46935</v>
      </c>
      <c r="AH5" s="55">
        <f t="shared" si="0"/>
        <v>46966</v>
      </c>
      <c r="AI5" s="55">
        <f t="shared" si="0"/>
        <v>46997</v>
      </c>
      <c r="AJ5" s="55">
        <f t="shared" si="0"/>
        <v>47027</v>
      </c>
      <c r="AK5" s="55">
        <f t="shared" si="0"/>
        <v>47058</v>
      </c>
      <c r="AL5" s="55">
        <f t="shared" si="0"/>
        <v>47088</v>
      </c>
    </row>
    <row r="7" spans="1:42" x14ac:dyDescent="0.35">
      <c r="A7" s="31" t="s">
        <v>199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</row>
    <row r="8" spans="1:42" x14ac:dyDescent="0.35">
      <c r="A8" s="33" t="s">
        <v>200</v>
      </c>
      <c r="B8" s="34" t="s">
        <v>101</v>
      </c>
      <c r="C8" s="56">
        <f>A_EntCust0</f>
        <v>40</v>
      </c>
      <c r="D8" s="56">
        <f t="shared" ref="D8:AL8" si="1">C11</f>
        <v>42.72</v>
      </c>
      <c r="E8" s="56">
        <f t="shared" si="1"/>
        <v>45.420960000000001</v>
      </c>
      <c r="F8" s="56">
        <f t="shared" si="1"/>
        <v>48.103013279999999</v>
      </c>
      <c r="G8" s="56">
        <f t="shared" si="1"/>
        <v>50.766292187040001</v>
      </c>
      <c r="H8" s="56">
        <f t="shared" si="1"/>
        <v>53.410928141730722</v>
      </c>
      <c r="I8" s="56">
        <f t="shared" si="1"/>
        <v>56.037051644738604</v>
      </c>
      <c r="J8" s="56">
        <f t="shared" si="1"/>
        <v>58.644792283225435</v>
      </c>
      <c r="K8" s="56">
        <f t="shared" si="1"/>
        <v>61.23427873724286</v>
      </c>
      <c r="L8" s="56">
        <f t="shared" si="1"/>
        <v>63.805638786082163</v>
      </c>
      <c r="M8" s="56">
        <f t="shared" si="1"/>
        <v>66.358999314579592</v>
      </c>
      <c r="N8" s="56">
        <f t="shared" si="1"/>
        <v>68.894486319377535</v>
      </c>
      <c r="O8" s="56">
        <f t="shared" si="1"/>
        <v>71.412224915141891</v>
      </c>
      <c r="P8" s="56">
        <f t="shared" si="1"/>
        <v>73.912339340735898</v>
      </c>
      <c r="Q8" s="56">
        <f t="shared" si="1"/>
        <v>76.39495296535074</v>
      </c>
      <c r="R8" s="56">
        <f t="shared" si="1"/>
        <v>78.860188294593286</v>
      </c>
      <c r="S8" s="56">
        <f t="shared" si="1"/>
        <v>81.308166976531126</v>
      </c>
      <c r="T8" s="56">
        <f t="shared" si="1"/>
        <v>83.73900980769541</v>
      </c>
      <c r="U8" s="56">
        <f t="shared" si="1"/>
        <v>86.152836739041547</v>
      </c>
      <c r="V8" s="56">
        <f t="shared" si="1"/>
        <v>88.549766881868251</v>
      </c>
      <c r="W8" s="56">
        <f t="shared" si="1"/>
        <v>90.929918513695171</v>
      </c>
      <c r="X8" s="56">
        <f t="shared" si="1"/>
        <v>93.293409084099309</v>
      </c>
      <c r="Y8" s="56">
        <f t="shared" si="1"/>
        <v>95.640355220510614</v>
      </c>
      <c r="Z8" s="56">
        <f t="shared" si="1"/>
        <v>97.970872733967042</v>
      </c>
      <c r="AA8" s="56">
        <f t="shared" si="1"/>
        <v>100.28507662482927</v>
      </c>
      <c r="AB8" s="56">
        <f t="shared" si="1"/>
        <v>102.58308108845547</v>
      </c>
      <c r="AC8" s="56">
        <f t="shared" si="1"/>
        <v>104.86499952083628</v>
      </c>
      <c r="AD8" s="56">
        <f t="shared" si="1"/>
        <v>107.13094452419043</v>
      </c>
      <c r="AE8" s="56">
        <f t="shared" si="1"/>
        <v>109.38102791252109</v>
      </c>
      <c r="AF8" s="56">
        <f t="shared" si="1"/>
        <v>111.61536071713344</v>
      </c>
      <c r="AG8" s="56">
        <f t="shared" si="1"/>
        <v>113.8340531921135</v>
      </c>
      <c r="AH8" s="56">
        <f t="shared" si="1"/>
        <v>116.03721481976871</v>
      </c>
      <c r="AI8" s="56">
        <f t="shared" si="1"/>
        <v>118.22495431603032</v>
      </c>
      <c r="AJ8" s="56">
        <f t="shared" si="1"/>
        <v>120.39737963581811</v>
      </c>
      <c r="AK8" s="56">
        <f t="shared" si="1"/>
        <v>122.55459797836738</v>
      </c>
      <c r="AL8" s="56">
        <f t="shared" si="1"/>
        <v>124.69671579251882</v>
      </c>
    </row>
    <row r="9" spans="1:42" x14ac:dyDescent="0.35">
      <c r="A9" s="33" t="s">
        <v>201</v>
      </c>
      <c r="B9" s="34" t="s">
        <v>101</v>
      </c>
      <c r="C9" s="56">
        <f t="shared" ref="C9:AL9" si="2">L_NewEnt</f>
        <v>3</v>
      </c>
      <c r="D9" s="56">
        <f t="shared" si="2"/>
        <v>3</v>
      </c>
      <c r="E9" s="56">
        <f t="shared" si="2"/>
        <v>3</v>
      </c>
      <c r="F9" s="56">
        <f t="shared" si="2"/>
        <v>3</v>
      </c>
      <c r="G9" s="56">
        <f t="shared" si="2"/>
        <v>3</v>
      </c>
      <c r="H9" s="56">
        <f t="shared" si="2"/>
        <v>3</v>
      </c>
      <c r="I9" s="56">
        <f t="shared" si="2"/>
        <v>3</v>
      </c>
      <c r="J9" s="56">
        <f t="shared" si="2"/>
        <v>3</v>
      </c>
      <c r="K9" s="56">
        <f t="shared" si="2"/>
        <v>3</v>
      </c>
      <c r="L9" s="56">
        <f t="shared" si="2"/>
        <v>3</v>
      </c>
      <c r="M9" s="56">
        <f t="shared" si="2"/>
        <v>3</v>
      </c>
      <c r="N9" s="56">
        <f t="shared" si="2"/>
        <v>3</v>
      </c>
      <c r="O9" s="56">
        <f t="shared" si="2"/>
        <v>3</v>
      </c>
      <c r="P9" s="56">
        <f t="shared" si="2"/>
        <v>3</v>
      </c>
      <c r="Q9" s="56">
        <f t="shared" si="2"/>
        <v>3</v>
      </c>
      <c r="R9" s="56">
        <f t="shared" si="2"/>
        <v>3</v>
      </c>
      <c r="S9" s="56">
        <f t="shared" si="2"/>
        <v>3</v>
      </c>
      <c r="T9" s="56">
        <f t="shared" si="2"/>
        <v>3</v>
      </c>
      <c r="U9" s="56">
        <f t="shared" si="2"/>
        <v>3</v>
      </c>
      <c r="V9" s="56">
        <f t="shared" si="2"/>
        <v>3</v>
      </c>
      <c r="W9" s="56">
        <f t="shared" si="2"/>
        <v>3</v>
      </c>
      <c r="X9" s="56">
        <f t="shared" si="2"/>
        <v>3</v>
      </c>
      <c r="Y9" s="56">
        <f t="shared" si="2"/>
        <v>3</v>
      </c>
      <c r="Z9" s="56">
        <f t="shared" si="2"/>
        <v>3</v>
      </c>
      <c r="AA9" s="56">
        <f t="shared" si="2"/>
        <v>3</v>
      </c>
      <c r="AB9" s="56">
        <f t="shared" si="2"/>
        <v>3</v>
      </c>
      <c r="AC9" s="56">
        <f t="shared" si="2"/>
        <v>3</v>
      </c>
      <c r="AD9" s="56">
        <f t="shared" si="2"/>
        <v>3</v>
      </c>
      <c r="AE9" s="56">
        <f t="shared" si="2"/>
        <v>3</v>
      </c>
      <c r="AF9" s="56">
        <f t="shared" si="2"/>
        <v>3</v>
      </c>
      <c r="AG9" s="56">
        <f t="shared" si="2"/>
        <v>3</v>
      </c>
      <c r="AH9" s="56">
        <f t="shared" si="2"/>
        <v>3</v>
      </c>
      <c r="AI9" s="56">
        <f t="shared" si="2"/>
        <v>3</v>
      </c>
      <c r="AJ9" s="56">
        <f t="shared" si="2"/>
        <v>3</v>
      </c>
      <c r="AK9" s="56">
        <f t="shared" si="2"/>
        <v>3</v>
      </c>
      <c r="AL9" s="56">
        <f t="shared" si="2"/>
        <v>3</v>
      </c>
    </row>
    <row r="10" spans="1:42" x14ac:dyDescent="0.35">
      <c r="A10" s="33" t="s">
        <v>202</v>
      </c>
      <c r="B10" s="34" t="s">
        <v>101</v>
      </c>
      <c r="C10" s="56">
        <f t="shared" ref="C10:AL10" si="3">-C8*L_ChurnEnt</f>
        <v>-0.28000000000000003</v>
      </c>
      <c r="D10" s="56">
        <f t="shared" si="3"/>
        <v>-0.29903999999999997</v>
      </c>
      <c r="E10" s="56">
        <f t="shared" si="3"/>
        <v>-0.31794672000000002</v>
      </c>
      <c r="F10" s="56">
        <f t="shared" si="3"/>
        <v>-0.33672109296000002</v>
      </c>
      <c r="G10" s="56">
        <f t="shared" si="3"/>
        <v>-0.35536404530928001</v>
      </c>
      <c r="H10" s="56">
        <f t="shared" si="3"/>
        <v>-0.37387649699211506</v>
      </c>
      <c r="I10" s="56">
        <f t="shared" si="3"/>
        <v>-0.39225936151317026</v>
      </c>
      <c r="J10" s="56">
        <f t="shared" si="3"/>
        <v>-0.41051354598257805</v>
      </c>
      <c r="K10" s="56">
        <f t="shared" si="3"/>
        <v>-0.42863995116070003</v>
      </c>
      <c r="L10" s="56">
        <f t="shared" si="3"/>
        <v>-0.44663947150257516</v>
      </c>
      <c r="M10" s="56">
        <f t="shared" si="3"/>
        <v>-0.46451299520205713</v>
      </c>
      <c r="N10" s="56">
        <f t="shared" si="3"/>
        <v>-0.48226140423564273</v>
      </c>
      <c r="O10" s="56">
        <f t="shared" si="3"/>
        <v>-0.49988557440599324</v>
      </c>
      <c r="P10" s="56">
        <f t="shared" si="3"/>
        <v>-0.51738637538515131</v>
      </c>
      <c r="Q10" s="56">
        <f t="shared" si="3"/>
        <v>-0.53476467075745515</v>
      </c>
      <c r="R10" s="56">
        <f t="shared" si="3"/>
        <v>-0.55202131806215304</v>
      </c>
      <c r="S10" s="56">
        <f t="shared" si="3"/>
        <v>-0.56915716883571787</v>
      </c>
      <c r="T10" s="56">
        <f t="shared" si="3"/>
        <v>-0.58617306865386787</v>
      </c>
      <c r="U10" s="56">
        <f t="shared" si="3"/>
        <v>-0.60306985717329087</v>
      </c>
      <c r="V10" s="56">
        <f t="shared" si="3"/>
        <v>-0.61984836817307776</v>
      </c>
      <c r="W10" s="56">
        <f t="shared" si="3"/>
        <v>-0.63650942959586621</v>
      </c>
      <c r="X10" s="56">
        <f t="shared" si="3"/>
        <v>-0.65305386358869522</v>
      </c>
      <c r="Y10" s="56">
        <f t="shared" si="3"/>
        <v>-0.66948248654357434</v>
      </c>
      <c r="Z10" s="56">
        <f t="shared" si="3"/>
        <v>-0.68579610913776934</v>
      </c>
      <c r="AA10" s="56">
        <f t="shared" si="3"/>
        <v>-0.70199553637380496</v>
      </c>
      <c r="AB10" s="56">
        <f t="shared" si="3"/>
        <v>-0.71808156761918829</v>
      </c>
      <c r="AC10" s="56">
        <f t="shared" si="3"/>
        <v>-0.73405499664585394</v>
      </c>
      <c r="AD10" s="56">
        <f t="shared" si="3"/>
        <v>-0.74991661166933299</v>
      </c>
      <c r="AE10" s="56">
        <f t="shared" si="3"/>
        <v>-0.7656671953876476</v>
      </c>
      <c r="AF10" s="56">
        <f t="shared" si="3"/>
        <v>-0.78130752501993406</v>
      </c>
      <c r="AG10" s="56">
        <f t="shared" si="3"/>
        <v>-0.79683837234479449</v>
      </c>
      <c r="AH10" s="56">
        <f t="shared" si="3"/>
        <v>-0.81226050373838099</v>
      </c>
      <c r="AI10" s="56">
        <f t="shared" si="3"/>
        <v>-0.82757468021221225</v>
      </c>
      <c r="AJ10" s="56">
        <f t="shared" si="3"/>
        <v>-0.84278165745072675</v>
      </c>
      <c r="AK10" s="56">
        <f t="shared" si="3"/>
        <v>-0.85788218584857168</v>
      </c>
      <c r="AL10" s="56">
        <f t="shared" si="3"/>
        <v>-0.87287701054763178</v>
      </c>
    </row>
    <row r="11" spans="1:42" x14ac:dyDescent="0.35">
      <c r="A11" s="33" t="s">
        <v>203</v>
      </c>
      <c r="B11" s="34" t="s">
        <v>101</v>
      </c>
      <c r="C11" s="57">
        <f t="shared" ref="C11:AL11" si="4">C8+C9+C10</f>
        <v>42.72</v>
      </c>
      <c r="D11" s="57">
        <f t="shared" si="4"/>
        <v>45.420960000000001</v>
      </c>
      <c r="E11" s="57">
        <f t="shared" si="4"/>
        <v>48.103013279999999</v>
      </c>
      <c r="F11" s="57">
        <f t="shared" si="4"/>
        <v>50.766292187040001</v>
      </c>
      <c r="G11" s="57">
        <f t="shared" si="4"/>
        <v>53.410928141730722</v>
      </c>
      <c r="H11" s="57">
        <f t="shared" si="4"/>
        <v>56.037051644738604</v>
      </c>
      <c r="I11" s="57">
        <f t="shared" si="4"/>
        <v>58.644792283225435</v>
      </c>
      <c r="J11" s="57">
        <f t="shared" si="4"/>
        <v>61.23427873724286</v>
      </c>
      <c r="K11" s="57">
        <f t="shared" si="4"/>
        <v>63.805638786082163</v>
      </c>
      <c r="L11" s="57">
        <f t="shared" si="4"/>
        <v>66.358999314579592</v>
      </c>
      <c r="M11" s="57">
        <f t="shared" si="4"/>
        <v>68.894486319377535</v>
      </c>
      <c r="N11" s="57">
        <f t="shared" si="4"/>
        <v>71.412224915141891</v>
      </c>
      <c r="O11" s="57">
        <f t="shared" si="4"/>
        <v>73.912339340735898</v>
      </c>
      <c r="P11" s="57">
        <f t="shared" si="4"/>
        <v>76.39495296535074</v>
      </c>
      <c r="Q11" s="57">
        <f t="shared" si="4"/>
        <v>78.860188294593286</v>
      </c>
      <c r="R11" s="57">
        <f t="shared" si="4"/>
        <v>81.308166976531126</v>
      </c>
      <c r="S11" s="57">
        <f t="shared" si="4"/>
        <v>83.73900980769541</v>
      </c>
      <c r="T11" s="57">
        <f t="shared" si="4"/>
        <v>86.152836739041547</v>
      </c>
      <c r="U11" s="57">
        <f t="shared" si="4"/>
        <v>88.549766881868251</v>
      </c>
      <c r="V11" s="57">
        <f t="shared" si="4"/>
        <v>90.929918513695171</v>
      </c>
      <c r="W11" s="57">
        <f t="shared" si="4"/>
        <v>93.293409084099309</v>
      </c>
      <c r="X11" s="57">
        <f t="shared" si="4"/>
        <v>95.640355220510614</v>
      </c>
      <c r="Y11" s="57">
        <f t="shared" si="4"/>
        <v>97.970872733967042</v>
      </c>
      <c r="Z11" s="57">
        <f t="shared" si="4"/>
        <v>100.28507662482927</v>
      </c>
      <c r="AA11" s="57">
        <f t="shared" si="4"/>
        <v>102.58308108845547</v>
      </c>
      <c r="AB11" s="57">
        <f t="shared" si="4"/>
        <v>104.86499952083628</v>
      </c>
      <c r="AC11" s="57">
        <f t="shared" si="4"/>
        <v>107.13094452419043</v>
      </c>
      <c r="AD11" s="57">
        <f t="shared" si="4"/>
        <v>109.38102791252109</v>
      </c>
      <c r="AE11" s="57">
        <f t="shared" si="4"/>
        <v>111.61536071713344</v>
      </c>
      <c r="AF11" s="57">
        <f t="shared" si="4"/>
        <v>113.8340531921135</v>
      </c>
      <c r="AG11" s="57">
        <f t="shared" si="4"/>
        <v>116.03721481976871</v>
      </c>
      <c r="AH11" s="57">
        <f t="shared" si="4"/>
        <v>118.22495431603032</v>
      </c>
      <c r="AI11" s="57">
        <f t="shared" si="4"/>
        <v>120.39737963581811</v>
      </c>
      <c r="AJ11" s="57">
        <f t="shared" si="4"/>
        <v>122.55459797836738</v>
      </c>
      <c r="AK11" s="57">
        <f t="shared" si="4"/>
        <v>124.69671579251882</v>
      </c>
      <c r="AL11" s="57">
        <f t="shared" si="4"/>
        <v>126.82383878197119</v>
      </c>
    </row>
    <row r="12" spans="1:42" x14ac:dyDescent="0.35">
      <c r="A12" s="33" t="s">
        <v>204</v>
      </c>
      <c r="B12" s="34" t="s">
        <v>105</v>
      </c>
      <c r="C12" s="58">
        <f>A_EntARPU0</f>
        <v>4500</v>
      </c>
      <c r="D12" s="58">
        <f t="shared" ref="D12:AL12" si="5">C12*(1+L_Price)^(1/12)</f>
        <v>4514.7318290198955</v>
      </c>
      <c r="E12" s="58">
        <f t="shared" si="5"/>
        <v>4529.5118862145173</v>
      </c>
      <c r="F12" s="58">
        <f t="shared" si="5"/>
        <v>4544.3403294703603</v>
      </c>
      <c r="G12" s="58">
        <f t="shared" si="5"/>
        <v>4559.217317190798</v>
      </c>
      <c r="H12" s="58">
        <f t="shared" si="5"/>
        <v>4574.1430082977759</v>
      </c>
      <c r="I12" s="58">
        <f t="shared" si="5"/>
        <v>4589.1175622335077</v>
      </c>
      <c r="J12" s="58">
        <f t="shared" si="5"/>
        <v>4604.141138962179</v>
      </c>
      <c r="K12" s="58">
        <f t="shared" si="5"/>
        <v>4619.2138989716577</v>
      </c>
      <c r="L12" s="58">
        <f t="shared" si="5"/>
        <v>4634.3360032752071</v>
      </c>
      <c r="M12" s="58">
        <f t="shared" si="5"/>
        <v>4649.5076134132059</v>
      </c>
      <c r="N12" s="58">
        <f t="shared" si="5"/>
        <v>4664.7288914548735</v>
      </c>
      <c r="O12" s="58">
        <f t="shared" si="5"/>
        <v>4680.0000000000018</v>
      </c>
      <c r="P12" s="58">
        <f t="shared" si="5"/>
        <v>4695.3211021806928</v>
      </c>
      <c r="Q12" s="58">
        <f t="shared" si="5"/>
        <v>4710.6923616631002</v>
      </c>
      <c r="R12" s="58">
        <f t="shared" si="5"/>
        <v>4726.1139426491773</v>
      </c>
      <c r="S12" s="58">
        <f t="shared" si="5"/>
        <v>4741.5860098784324</v>
      </c>
      <c r="T12" s="58">
        <f t="shared" si="5"/>
        <v>4757.1087286296888</v>
      </c>
      <c r="U12" s="58">
        <f t="shared" si="5"/>
        <v>4772.6822647228491</v>
      </c>
      <c r="V12" s="58">
        <f t="shared" si="5"/>
        <v>4788.3067845206679</v>
      </c>
      <c r="W12" s="58">
        <f t="shared" si="5"/>
        <v>4803.9824549305258</v>
      </c>
      <c r="X12" s="58">
        <f t="shared" si="5"/>
        <v>4819.7094434062174</v>
      </c>
      <c r="Y12" s="58">
        <f t="shared" si="5"/>
        <v>4835.4879179497357</v>
      </c>
      <c r="Z12" s="58">
        <f t="shared" si="5"/>
        <v>4851.31804711307</v>
      </c>
      <c r="AA12" s="58">
        <f t="shared" si="5"/>
        <v>4867.2000000000035</v>
      </c>
      <c r="AB12" s="58">
        <f t="shared" si="5"/>
        <v>4883.1339462679216</v>
      </c>
      <c r="AC12" s="58">
        <f t="shared" si="5"/>
        <v>4899.1200561296246</v>
      </c>
      <c r="AD12" s="58">
        <f t="shared" si="5"/>
        <v>4915.1585003551445</v>
      </c>
      <c r="AE12" s="58">
        <f t="shared" si="5"/>
        <v>4931.2494502735699</v>
      </c>
      <c r="AF12" s="58">
        <f t="shared" si="5"/>
        <v>4947.3930777748774</v>
      </c>
      <c r="AG12" s="58">
        <f t="shared" si="5"/>
        <v>4963.5895553117643</v>
      </c>
      <c r="AH12" s="58">
        <f t="shared" si="5"/>
        <v>4979.8390559014952</v>
      </c>
      <c r="AI12" s="58">
        <f t="shared" si="5"/>
        <v>4996.1417531277475</v>
      </c>
      <c r="AJ12" s="58">
        <f t="shared" si="5"/>
        <v>5012.4978211424668</v>
      </c>
      <c r="AK12" s="58">
        <f t="shared" si="5"/>
        <v>5028.9074346677262</v>
      </c>
      <c r="AL12" s="58">
        <f t="shared" si="5"/>
        <v>5045.3707689975936</v>
      </c>
    </row>
    <row r="14" spans="1:42" x14ac:dyDescent="0.35">
      <c r="A14" s="33" t="s">
        <v>205</v>
      </c>
      <c r="B14" s="34" t="s">
        <v>144</v>
      </c>
      <c r="C14" s="58">
        <f>A_EntCust0*A_EntARPU0</f>
        <v>180000</v>
      </c>
      <c r="D14" s="58">
        <f t="shared" ref="D14:AL14" si="6">C18</f>
        <v>194400</v>
      </c>
      <c r="E14" s="58">
        <f t="shared" si="6"/>
        <v>208916.19548705968</v>
      </c>
      <c r="F14" s="58">
        <f t="shared" si="6"/>
        <v>223549.31212313854</v>
      </c>
      <c r="G14" s="58">
        <f t="shared" si="6"/>
        <v>238300.0796721653</v>
      </c>
      <c r="H14" s="58">
        <f t="shared" si="6"/>
        <v>253169.23202209853</v>
      </c>
      <c r="I14" s="58">
        <f t="shared" si="6"/>
        <v>268157.50720710238</v>
      </c>
      <c r="J14" s="58">
        <f t="shared" si="6"/>
        <v>283265.64742983843</v>
      </c>
      <c r="K14" s="58">
        <f t="shared" si="6"/>
        <v>298494.39908387413</v>
      </c>
      <c r="L14" s="58">
        <f t="shared" si="6"/>
        <v>313844.51277620846</v>
      </c>
      <c r="M14" s="58">
        <f t="shared" si="6"/>
        <v>329316.74334991514</v>
      </c>
      <c r="N14" s="58">
        <f t="shared" si="6"/>
        <v>344911.84990690433</v>
      </c>
      <c r="O14" s="58">
        <f t="shared" si="6"/>
        <v>360630.5958308035</v>
      </c>
      <c r="P14" s="58">
        <f t="shared" si="6"/>
        <v>376473.74880995753</v>
      </c>
      <c r="Q14" s="58">
        <f t="shared" si="6"/>
        <v>392442.08086054941</v>
      </c>
      <c r="R14" s="58">
        <f t="shared" si="6"/>
        <v>408536.36834984145</v>
      </c>
      <c r="S14" s="58">
        <f t="shared" si="6"/>
        <v>424757.39201953821</v>
      </c>
      <c r="T14" s="58">
        <f t="shared" si="6"/>
        <v>441105.93700927118</v>
      </c>
      <c r="U14" s="58">
        <f t="shared" si="6"/>
        <v>457582.7928802066</v>
      </c>
      <c r="V14" s="58">
        <f t="shared" si="6"/>
        <v>474188.75363877619</v>
      </c>
      <c r="W14" s="58">
        <f t="shared" si="6"/>
        <v>490924.61776053207</v>
      </c>
      <c r="X14" s="58">
        <f t="shared" si="6"/>
        <v>507791.18821412633</v>
      </c>
      <c r="Y14" s="58">
        <f t="shared" si="6"/>
        <v>524789.27248541568</v>
      </c>
      <c r="Z14" s="58">
        <f t="shared" si="6"/>
        <v>541919.68260169192</v>
      </c>
      <c r="AA14" s="58">
        <f t="shared" si="6"/>
        <v>559183.23515603947</v>
      </c>
      <c r="AB14" s="58">
        <f t="shared" si="6"/>
        <v>576580.75133181969</v>
      </c>
      <c r="AC14" s="58">
        <f t="shared" si="6"/>
        <v>594113.0569272826</v>
      </c>
      <c r="AD14" s="58">
        <f t="shared" si="6"/>
        <v>611780.98238030786</v>
      </c>
      <c r="AE14" s="58">
        <f t="shared" si="6"/>
        <v>629585.36279327492</v>
      </c>
      <c r="AF14" s="58">
        <f t="shared" si="6"/>
        <v>647527.03795806202</v>
      </c>
      <c r="AG14" s="58">
        <f t="shared" si="6"/>
        <v>665606.8523811769</v>
      </c>
      <c r="AH14" s="58">
        <f t="shared" si="6"/>
        <v>683825.6553090181</v>
      </c>
      <c r="AI14" s="58">
        <f t="shared" si="6"/>
        <v>702184.30075326771</v>
      </c>
      <c r="AJ14" s="58">
        <f t="shared" si="6"/>
        <v>720683.64751641732</v>
      </c>
      <c r="AK14" s="58">
        <f t="shared" si="6"/>
        <v>739324.55921742681</v>
      </c>
      <c r="AL14" s="58">
        <f t="shared" si="6"/>
        <v>758107.90431751718</v>
      </c>
    </row>
    <row r="15" spans="1:42" x14ac:dyDescent="0.35">
      <c r="A15" s="33" t="s">
        <v>206</v>
      </c>
      <c r="B15" s="34" t="s">
        <v>144</v>
      </c>
      <c r="C15" s="58">
        <f t="shared" ref="C15:AL15" si="7">C9*C12</f>
        <v>13500</v>
      </c>
      <c r="D15" s="58">
        <f t="shared" si="7"/>
        <v>13544.195487059686</v>
      </c>
      <c r="E15" s="58">
        <f t="shared" si="7"/>
        <v>13588.535658643552</v>
      </c>
      <c r="F15" s="58">
        <f t="shared" si="7"/>
        <v>13633.020988411081</v>
      </c>
      <c r="G15" s="58">
        <f t="shared" si="7"/>
        <v>13677.651951572394</v>
      </c>
      <c r="H15" s="58">
        <f t="shared" si="7"/>
        <v>13722.429024893328</v>
      </c>
      <c r="I15" s="58">
        <f t="shared" si="7"/>
        <v>13767.352686700524</v>
      </c>
      <c r="J15" s="58">
        <f t="shared" si="7"/>
        <v>13812.423416886537</v>
      </c>
      <c r="K15" s="58">
        <f t="shared" si="7"/>
        <v>13857.641696914972</v>
      </c>
      <c r="L15" s="58">
        <f t="shared" si="7"/>
        <v>13903.008009825622</v>
      </c>
      <c r="M15" s="58">
        <f t="shared" si="7"/>
        <v>13948.522840239617</v>
      </c>
      <c r="N15" s="58">
        <f t="shared" si="7"/>
        <v>13994.186674364621</v>
      </c>
      <c r="O15" s="58">
        <f t="shared" si="7"/>
        <v>14040.000000000005</v>
      </c>
      <c r="P15" s="58">
        <f t="shared" si="7"/>
        <v>14085.963306542078</v>
      </c>
      <c r="Q15" s="58">
        <f t="shared" si="7"/>
        <v>14132.077084989302</v>
      </c>
      <c r="R15" s="58">
        <f t="shared" si="7"/>
        <v>14178.341827947532</v>
      </c>
      <c r="S15" s="58">
        <f t="shared" si="7"/>
        <v>14224.758029635297</v>
      </c>
      <c r="T15" s="58">
        <f t="shared" si="7"/>
        <v>14271.326185889066</v>
      </c>
      <c r="U15" s="58">
        <f t="shared" si="7"/>
        <v>14318.046794168547</v>
      </c>
      <c r="V15" s="58">
        <f t="shared" si="7"/>
        <v>14364.920353562004</v>
      </c>
      <c r="W15" s="58">
        <f t="shared" si="7"/>
        <v>14411.947364791577</v>
      </c>
      <c r="X15" s="58">
        <f t="shared" si="7"/>
        <v>14459.128330218653</v>
      </c>
      <c r="Y15" s="58">
        <f t="shared" si="7"/>
        <v>14506.463753849206</v>
      </c>
      <c r="Z15" s="58">
        <f t="shared" si="7"/>
        <v>14553.954141339211</v>
      </c>
      <c r="AA15" s="58">
        <f t="shared" si="7"/>
        <v>14601.600000000009</v>
      </c>
      <c r="AB15" s="58">
        <f t="shared" si="7"/>
        <v>14649.401838803766</v>
      </c>
      <c r="AC15" s="58">
        <f t="shared" si="7"/>
        <v>14697.360168388874</v>
      </c>
      <c r="AD15" s="58">
        <f t="shared" si="7"/>
        <v>14745.475501065433</v>
      </c>
      <c r="AE15" s="58">
        <f t="shared" si="7"/>
        <v>14793.74835082071</v>
      </c>
      <c r="AF15" s="58">
        <f t="shared" si="7"/>
        <v>14842.179233324632</v>
      </c>
      <c r="AG15" s="58">
        <f t="shared" si="7"/>
        <v>14890.768665935293</v>
      </c>
      <c r="AH15" s="58">
        <f t="shared" si="7"/>
        <v>14939.517167704485</v>
      </c>
      <c r="AI15" s="58">
        <f t="shared" si="7"/>
        <v>14988.425259383243</v>
      </c>
      <c r="AJ15" s="58">
        <f t="shared" si="7"/>
        <v>15037.4934634274</v>
      </c>
      <c r="AK15" s="58">
        <f t="shared" si="7"/>
        <v>15086.722304003179</v>
      </c>
      <c r="AL15" s="58">
        <f t="shared" si="7"/>
        <v>15136.112306992782</v>
      </c>
    </row>
    <row r="16" spans="1:42" x14ac:dyDescent="0.35">
      <c r="A16" s="33" t="s">
        <v>207</v>
      </c>
      <c r="B16" s="34" t="s">
        <v>144</v>
      </c>
      <c r="C16" s="58">
        <f t="shared" ref="C16:AL16" si="8">C14*L_ExpEnt</f>
        <v>2160</v>
      </c>
      <c r="D16" s="58">
        <f t="shared" si="8"/>
        <v>2332.8000000000002</v>
      </c>
      <c r="E16" s="58">
        <f t="shared" si="8"/>
        <v>2506.994345844716</v>
      </c>
      <c r="F16" s="58">
        <f t="shared" si="8"/>
        <v>2682.5917454776627</v>
      </c>
      <c r="G16" s="58">
        <f t="shared" si="8"/>
        <v>2859.6009560659836</v>
      </c>
      <c r="H16" s="58">
        <f t="shared" si="8"/>
        <v>3038.0307842651823</v>
      </c>
      <c r="I16" s="58">
        <f t="shared" si="8"/>
        <v>3217.8900864852285</v>
      </c>
      <c r="J16" s="58">
        <f t="shared" si="8"/>
        <v>3399.1877691580612</v>
      </c>
      <c r="K16" s="58">
        <f t="shared" si="8"/>
        <v>3581.9327890064897</v>
      </c>
      <c r="L16" s="58">
        <f t="shared" si="8"/>
        <v>3766.1341533145014</v>
      </c>
      <c r="M16" s="58">
        <f t="shared" si="8"/>
        <v>3951.8009201989817</v>
      </c>
      <c r="N16" s="58">
        <f t="shared" si="8"/>
        <v>4138.9421988828517</v>
      </c>
      <c r="O16" s="58">
        <f t="shared" si="8"/>
        <v>4327.5671499696418</v>
      </c>
      <c r="P16" s="58">
        <f t="shared" si="8"/>
        <v>4517.6849857194902</v>
      </c>
      <c r="Q16" s="58">
        <f t="shared" si="8"/>
        <v>4709.3049703265933</v>
      </c>
      <c r="R16" s="58">
        <f t="shared" si="8"/>
        <v>4902.436420198097</v>
      </c>
      <c r="S16" s="58">
        <f t="shared" si="8"/>
        <v>5097.0887042344584</v>
      </c>
      <c r="T16" s="58">
        <f t="shared" si="8"/>
        <v>5293.2712441112544</v>
      </c>
      <c r="U16" s="58">
        <f t="shared" si="8"/>
        <v>5490.9935145624795</v>
      </c>
      <c r="V16" s="58">
        <f t="shared" si="8"/>
        <v>5690.2650436653148</v>
      </c>
      <c r="W16" s="58">
        <f t="shared" si="8"/>
        <v>5891.0954131263852</v>
      </c>
      <c r="X16" s="58">
        <f t="shared" si="8"/>
        <v>6093.4942585695162</v>
      </c>
      <c r="Y16" s="58">
        <f t="shared" si="8"/>
        <v>6297.4712698249887</v>
      </c>
      <c r="Z16" s="58">
        <f t="shared" si="8"/>
        <v>6503.0361912203034</v>
      </c>
      <c r="AA16" s="58">
        <f t="shared" si="8"/>
        <v>6710.1988218724737</v>
      </c>
      <c r="AB16" s="58">
        <f t="shared" si="8"/>
        <v>6918.9690159818365</v>
      </c>
      <c r="AC16" s="58">
        <f t="shared" si="8"/>
        <v>7129.3566831273911</v>
      </c>
      <c r="AD16" s="58">
        <f t="shared" si="8"/>
        <v>7341.3717885636943</v>
      </c>
      <c r="AE16" s="58">
        <f t="shared" si="8"/>
        <v>7555.0243535192994</v>
      </c>
      <c r="AF16" s="58">
        <f t="shared" si="8"/>
        <v>7770.3244554967441</v>
      </c>
      <c r="AG16" s="58">
        <f t="shared" si="8"/>
        <v>7987.2822285741231</v>
      </c>
      <c r="AH16" s="58">
        <f t="shared" si="8"/>
        <v>8205.9078637082166</v>
      </c>
      <c r="AI16" s="58">
        <f t="shared" si="8"/>
        <v>8426.2116090392119</v>
      </c>
      <c r="AJ16" s="58">
        <f t="shared" si="8"/>
        <v>8648.2037701970075</v>
      </c>
      <c r="AK16" s="58">
        <f t="shared" si="8"/>
        <v>8871.8947106091218</v>
      </c>
      <c r="AL16" s="58">
        <f t="shared" si="8"/>
        <v>9097.2948518102057</v>
      </c>
    </row>
    <row r="17" spans="1:42" x14ac:dyDescent="0.35">
      <c r="A17" s="33" t="s">
        <v>208</v>
      </c>
      <c r="B17" s="34" t="s">
        <v>144</v>
      </c>
      <c r="C17" s="58">
        <f t="shared" ref="C17:AL17" si="9">-C14*L_ChurnEnt</f>
        <v>-1260</v>
      </c>
      <c r="D17" s="58">
        <f t="shared" si="9"/>
        <v>-1360.8</v>
      </c>
      <c r="E17" s="58">
        <f t="shared" si="9"/>
        <v>-1462.4133684094179</v>
      </c>
      <c r="F17" s="58">
        <f t="shared" si="9"/>
        <v>-1564.8451848619698</v>
      </c>
      <c r="G17" s="58">
        <f t="shared" si="9"/>
        <v>-1668.1005577051571</v>
      </c>
      <c r="H17" s="58">
        <f t="shared" si="9"/>
        <v>-1772.1846241546898</v>
      </c>
      <c r="I17" s="58">
        <f t="shared" si="9"/>
        <v>-1877.1025504497168</v>
      </c>
      <c r="J17" s="58">
        <f t="shared" si="9"/>
        <v>-1982.8595320088691</v>
      </c>
      <c r="K17" s="58">
        <f t="shared" si="9"/>
        <v>-2089.460793587119</v>
      </c>
      <c r="L17" s="58">
        <f t="shared" si="9"/>
        <v>-2196.9115894334591</v>
      </c>
      <c r="M17" s="58">
        <f t="shared" si="9"/>
        <v>-2305.217203449406</v>
      </c>
      <c r="N17" s="58">
        <f t="shared" si="9"/>
        <v>-2414.3829493483304</v>
      </c>
      <c r="O17" s="58">
        <f t="shared" si="9"/>
        <v>-2524.4141708156244</v>
      </c>
      <c r="P17" s="58">
        <f t="shared" si="9"/>
        <v>-2635.3162416697028</v>
      </c>
      <c r="Q17" s="58">
        <f t="shared" si="9"/>
        <v>-2747.0945660238458</v>
      </c>
      <c r="R17" s="58">
        <f t="shared" si="9"/>
        <v>-2859.7545784488902</v>
      </c>
      <c r="S17" s="58">
        <f t="shared" si="9"/>
        <v>-2973.3017441367674</v>
      </c>
      <c r="T17" s="58">
        <f t="shared" si="9"/>
        <v>-3087.7415590648984</v>
      </c>
      <c r="U17" s="58">
        <f t="shared" si="9"/>
        <v>-3203.0795501614462</v>
      </c>
      <c r="V17" s="58">
        <f t="shared" si="9"/>
        <v>-3319.3212754714336</v>
      </c>
      <c r="W17" s="58">
        <f t="shared" si="9"/>
        <v>-3436.4723243237245</v>
      </c>
      <c r="X17" s="58">
        <f t="shared" si="9"/>
        <v>-3554.5383174988842</v>
      </c>
      <c r="Y17" s="58">
        <f t="shared" si="9"/>
        <v>-3673.5249073979098</v>
      </c>
      <c r="Z17" s="58">
        <f t="shared" si="9"/>
        <v>-3793.4377782118436</v>
      </c>
      <c r="AA17" s="58">
        <f t="shared" si="9"/>
        <v>-3914.2826460922765</v>
      </c>
      <c r="AB17" s="58">
        <f t="shared" si="9"/>
        <v>-4036.0652593227378</v>
      </c>
      <c r="AC17" s="58">
        <f t="shared" si="9"/>
        <v>-4158.7913984909783</v>
      </c>
      <c r="AD17" s="58">
        <f t="shared" si="9"/>
        <v>-4282.4668766621553</v>
      </c>
      <c r="AE17" s="58">
        <f t="shared" si="9"/>
        <v>-4407.0975395529249</v>
      </c>
      <c r="AF17" s="58">
        <f t="shared" si="9"/>
        <v>-4532.6892657064345</v>
      </c>
      <c r="AG17" s="58">
        <f t="shared" si="9"/>
        <v>-4659.2479666682384</v>
      </c>
      <c r="AH17" s="58">
        <f t="shared" si="9"/>
        <v>-4786.779587163127</v>
      </c>
      <c r="AI17" s="58">
        <f t="shared" si="9"/>
        <v>-4915.2901052728739</v>
      </c>
      <c r="AJ17" s="58">
        <f t="shared" si="9"/>
        <v>-5044.7855326149211</v>
      </c>
      <c r="AK17" s="58">
        <f t="shared" si="9"/>
        <v>-5175.271914521988</v>
      </c>
      <c r="AL17" s="58">
        <f t="shared" si="9"/>
        <v>-5306.7553302226206</v>
      </c>
    </row>
    <row r="18" spans="1:42" x14ac:dyDescent="0.35">
      <c r="A18" s="59" t="s">
        <v>209</v>
      </c>
      <c r="B18" s="60" t="s">
        <v>144</v>
      </c>
      <c r="C18" s="61">
        <f t="shared" ref="C18:AL18" si="10">C14+C15+C16+C17</f>
        <v>194400</v>
      </c>
      <c r="D18" s="61">
        <f t="shared" si="10"/>
        <v>208916.19548705968</v>
      </c>
      <c r="E18" s="61">
        <f t="shared" si="10"/>
        <v>223549.31212313854</v>
      </c>
      <c r="F18" s="61">
        <f t="shared" si="10"/>
        <v>238300.0796721653</v>
      </c>
      <c r="G18" s="61">
        <f t="shared" si="10"/>
        <v>253169.23202209853</v>
      </c>
      <c r="H18" s="61">
        <f t="shared" si="10"/>
        <v>268157.50720710238</v>
      </c>
      <c r="I18" s="61">
        <f t="shared" si="10"/>
        <v>283265.64742983843</v>
      </c>
      <c r="J18" s="61">
        <f t="shared" si="10"/>
        <v>298494.39908387413</v>
      </c>
      <c r="K18" s="61">
        <f t="shared" si="10"/>
        <v>313844.51277620846</v>
      </c>
      <c r="L18" s="61">
        <f t="shared" si="10"/>
        <v>329316.74334991514</v>
      </c>
      <c r="M18" s="61">
        <f t="shared" si="10"/>
        <v>344911.84990690433</v>
      </c>
      <c r="N18" s="61">
        <f t="shared" si="10"/>
        <v>360630.5958308035</v>
      </c>
      <c r="O18" s="61">
        <f t="shared" si="10"/>
        <v>376473.74880995753</v>
      </c>
      <c r="P18" s="61">
        <f t="shared" si="10"/>
        <v>392442.08086054941</v>
      </c>
      <c r="Q18" s="61">
        <f t="shared" si="10"/>
        <v>408536.36834984145</v>
      </c>
      <c r="R18" s="61">
        <f t="shared" si="10"/>
        <v>424757.39201953821</v>
      </c>
      <c r="S18" s="61">
        <f t="shared" si="10"/>
        <v>441105.93700927118</v>
      </c>
      <c r="T18" s="61">
        <f t="shared" si="10"/>
        <v>457582.7928802066</v>
      </c>
      <c r="U18" s="61">
        <f t="shared" si="10"/>
        <v>474188.75363877619</v>
      </c>
      <c r="V18" s="61">
        <f t="shared" si="10"/>
        <v>490924.61776053207</v>
      </c>
      <c r="W18" s="61">
        <f t="shared" si="10"/>
        <v>507791.18821412633</v>
      </c>
      <c r="X18" s="61">
        <f t="shared" si="10"/>
        <v>524789.27248541568</v>
      </c>
      <c r="Y18" s="61">
        <f t="shared" si="10"/>
        <v>541919.68260169192</v>
      </c>
      <c r="Z18" s="61">
        <f t="shared" si="10"/>
        <v>559183.23515603947</v>
      </c>
      <c r="AA18" s="61">
        <f t="shared" si="10"/>
        <v>576580.75133181969</v>
      </c>
      <c r="AB18" s="61">
        <f t="shared" si="10"/>
        <v>594113.0569272826</v>
      </c>
      <c r="AC18" s="61">
        <f t="shared" si="10"/>
        <v>611780.98238030786</v>
      </c>
      <c r="AD18" s="61">
        <f t="shared" si="10"/>
        <v>629585.36279327492</v>
      </c>
      <c r="AE18" s="61">
        <f t="shared" si="10"/>
        <v>647527.03795806202</v>
      </c>
      <c r="AF18" s="61">
        <f t="shared" si="10"/>
        <v>665606.8523811769</v>
      </c>
      <c r="AG18" s="61">
        <f t="shared" si="10"/>
        <v>683825.6553090181</v>
      </c>
      <c r="AH18" s="61">
        <f t="shared" si="10"/>
        <v>702184.30075326771</v>
      </c>
      <c r="AI18" s="61">
        <f t="shared" si="10"/>
        <v>720683.64751641732</v>
      </c>
      <c r="AJ18" s="61">
        <f t="shared" si="10"/>
        <v>739324.55921742681</v>
      </c>
      <c r="AK18" s="61">
        <f t="shared" si="10"/>
        <v>758107.90431751718</v>
      </c>
      <c r="AL18" s="61">
        <f t="shared" si="10"/>
        <v>777034.55614609749</v>
      </c>
    </row>
    <row r="20" spans="1:42" x14ac:dyDescent="0.35">
      <c r="A20" s="31" t="s">
        <v>210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</row>
    <row r="21" spans="1:42" x14ac:dyDescent="0.35">
      <c r="A21" s="33" t="s">
        <v>200</v>
      </c>
      <c r="B21" s="34" t="s">
        <v>101</v>
      </c>
      <c r="C21" s="56">
        <f>A_MMCust0</f>
        <v>180</v>
      </c>
      <c r="D21" s="56">
        <f t="shared" ref="D21:AL21" si="11">C24</f>
        <v>191.48</v>
      </c>
      <c r="E21" s="56">
        <f t="shared" si="11"/>
        <v>202.79927999999998</v>
      </c>
      <c r="F21" s="56">
        <f t="shared" si="11"/>
        <v>213.96009007999999</v>
      </c>
      <c r="G21" s="56">
        <f t="shared" si="11"/>
        <v>224.96464881887999</v>
      </c>
      <c r="H21" s="56">
        <f t="shared" si="11"/>
        <v>235.81514373541566</v>
      </c>
      <c r="I21" s="56">
        <f t="shared" si="11"/>
        <v>246.51373172311983</v>
      </c>
      <c r="J21" s="56">
        <f t="shared" si="11"/>
        <v>257.06253947899614</v>
      </c>
      <c r="K21" s="56">
        <f t="shared" si="11"/>
        <v>267.46366392629022</v>
      </c>
      <c r="L21" s="56">
        <f t="shared" si="11"/>
        <v>277.71917263132218</v>
      </c>
      <c r="M21" s="56">
        <f t="shared" si="11"/>
        <v>287.83110421448367</v>
      </c>
      <c r="N21" s="56">
        <f t="shared" si="11"/>
        <v>297.80146875548093</v>
      </c>
      <c r="O21" s="56">
        <f t="shared" si="11"/>
        <v>307.63224819290417</v>
      </c>
      <c r="P21" s="56">
        <f t="shared" si="11"/>
        <v>317.32539671820354</v>
      </c>
      <c r="Q21" s="56">
        <f t="shared" si="11"/>
        <v>326.88284116414866</v>
      </c>
      <c r="R21" s="56">
        <f t="shared" si="11"/>
        <v>336.30648138785057</v>
      </c>
      <c r="S21" s="56">
        <f t="shared" si="11"/>
        <v>345.59819064842065</v>
      </c>
      <c r="T21" s="56">
        <f t="shared" si="11"/>
        <v>354.75981597934276</v>
      </c>
      <c r="U21" s="56">
        <f t="shared" si="11"/>
        <v>363.79317855563198</v>
      </c>
      <c r="V21" s="56">
        <f t="shared" si="11"/>
        <v>372.70007405585312</v>
      </c>
      <c r="W21" s="56">
        <f t="shared" si="11"/>
        <v>381.48227301907116</v>
      </c>
      <c r="X21" s="56">
        <f t="shared" si="11"/>
        <v>390.14152119680415</v>
      </c>
      <c r="Y21" s="56">
        <f t="shared" si="11"/>
        <v>398.67953990004889</v>
      </c>
      <c r="Z21" s="56">
        <f t="shared" si="11"/>
        <v>407.09802634144819</v>
      </c>
      <c r="AA21" s="56">
        <f t="shared" si="11"/>
        <v>415.39865397266789</v>
      </c>
      <c r="AB21" s="56">
        <f t="shared" si="11"/>
        <v>423.58307281705055</v>
      </c>
      <c r="AC21" s="56">
        <f t="shared" si="11"/>
        <v>431.65290979761187</v>
      </c>
      <c r="AD21" s="56">
        <f t="shared" si="11"/>
        <v>439.60976906044533</v>
      </c>
      <c r="AE21" s="56">
        <f t="shared" si="11"/>
        <v>447.45523229359912</v>
      </c>
      <c r="AF21" s="56">
        <f t="shared" si="11"/>
        <v>455.19085904148875</v>
      </c>
      <c r="AG21" s="56">
        <f t="shared" si="11"/>
        <v>462.81818701490789</v>
      </c>
      <c r="AH21" s="56">
        <f t="shared" si="11"/>
        <v>470.33873239669919</v>
      </c>
      <c r="AI21" s="56">
        <f t="shared" si="11"/>
        <v>477.75399014314542</v>
      </c>
      <c r="AJ21" s="56">
        <f t="shared" si="11"/>
        <v>485.06543428114139</v>
      </c>
      <c r="AK21" s="56">
        <f t="shared" si="11"/>
        <v>492.27451820120541</v>
      </c>
      <c r="AL21" s="56">
        <f t="shared" si="11"/>
        <v>499.38267494638853</v>
      </c>
    </row>
    <row r="22" spans="1:42" x14ac:dyDescent="0.35">
      <c r="A22" s="33" t="s">
        <v>201</v>
      </c>
      <c r="B22" s="34" t="s">
        <v>101</v>
      </c>
      <c r="C22" s="56">
        <f t="shared" ref="C22:AL22" si="12">L_NewMM</f>
        <v>14</v>
      </c>
      <c r="D22" s="56">
        <f t="shared" si="12"/>
        <v>14</v>
      </c>
      <c r="E22" s="56">
        <f t="shared" si="12"/>
        <v>14</v>
      </c>
      <c r="F22" s="56">
        <f t="shared" si="12"/>
        <v>14</v>
      </c>
      <c r="G22" s="56">
        <f t="shared" si="12"/>
        <v>14</v>
      </c>
      <c r="H22" s="56">
        <f t="shared" si="12"/>
        <v>14</v>
      </c>
      <c r="I22" s="56">
        <f t="shared" si="12"/>
        <v>14</v>
      </c>
      <c r="J22" s="56">
        <f t="shared" si="12"/>
        <v>14</v>
      </c>
      <c r="K22" s="56">
        <f t="shared" si="12"/>
        <v>14</v>
      </c>
      <c r="L22" s="56">
        <f t="shared" si="12"/>
        <v>14</v>
      </c>
      <c r="M22" s="56">
        <f t="shared" si="12"/>
        <v>14</v>
      </c>
      <c r="N22" s="56">
        <f t="shared" si="12"/>
        <v>14</v>
      </c>
      <c r="O22" s="56">
        <f t="shared" si="12"/>
        <v>14</v>
      </c>
      <c r="P22" s="56">
        <f t="shared" si="12"/>
        <v>14</v>
      </c>
      <c r="Q22" s="56">
        <f t="shared" si="12"/>
        <v>14</v>
      </c>
      <c r="R22" s="56">
        <f t="shared" si="12"/>
        <v>14</v>
      </c>
      <c r="S22" s="56">
        <f t="shared" si="12"/>
        <v>14</v>
      </c>
      <c r="T22" s="56">
        <f t="shared" si="12"/>
        <v>14</v>
      </c>
      <c r="U22" s="56">
        <f t="shared" si="12"/>
        <v>14</v>
      </c>
      <c r="V22" s="56">
        <f t="shared" si="12"/>
        <v>14</v>
      </c>
      <c r="W22" s="56">
        <f t="shared" si="12"/>
        <v>14</v>
      </c>
      <c r="X22" s="56">
        <f t="shared" si="12"/>
        <v>14</v>
      </c>
      <c r="Y22" s="56">
        <f t="shared" si="12"/>
        <v>14</v>
      </c>
      <c r="Z22" s="56">
        <f t="shared" si="12"/>
        <v>14</v>
      </c>
      <c r="AA22" s="56">
        <f t="shared" si="12"/>
        <v>14</v>
      </c>
      <c r="AB22" s="56">
        <f t="shared" si="12"/>
        <v>14</v>
      </c>
      <c r="AC22" s="56">
        <f t="shared" si="12"/>
        <v>14</v>
      </c>
      <c r="AD22" s="56">
        <f t="shared" si="12"/>
        <v>14</v>
      </c>
      <c r="AE22" s="56">
        <f t="shared" si="12"/>
        <v>14</v>
      </c>
      <c r="AF22" s="56">
        <f t="shared" si="12"/>
        <v>14</v>
      </c>
      <c r="AG22" s="56">
        <f t="shared" si="12"/>
        <v>14</v>
      </c>
      <c r="AH22" s="56">
        <f t="shared" si="12"/>
        <v>14</v>
      </c>
      <c r="AI22" s="56">
        <f t="shared" si="12"/>
        <v>14</v>
      </c>
      <c r="AJ22" s="56">
        <f t="shared" si="12"/>
        <v>14</v>
      </c>
      <c r="AK22" s="56">
        <f t="shared" si="12"/>
        <v>14</v>
      </c>
      <c r="AL22" s="56">
        <f t="shared" si="12"/>
        <v>14</v>
      </c>
    </row>
    <row r="23" spans="1:42" x14ac:dyDescent="0.35">
      <c r="A23" s="33" t="s">
        <v>202</v>
      </c>
      <c r="B23" s="34" t="s">
        <v>101</v>
      </c>
      <c r="C23" s="56">
        <f t="shared" ref="C23:AL23" si="13">-C21*L_ChurnMM</f>
        <v>-2.52</v>
      </c>
      <c r="D23" s="56">
        <f t="shared" si="13"/>
        <v>-2.68072</v>
      </c>
      <c r="E23" s="56">
        <f t="shared" si="13"/>
        <v>-2.8391899199999999</v>
      </c>
      <c r="F23" s="56">
        <f t="shared" si="13"/>
        <v>-2.9954412611199999</v>
      </c>
      <c r="G23" s="56">
        <f t="shared" si="13"/>
        <v>-3.1495050834643199</v>
      </c>
      <c r="H23" s="56">
        <f t="shared" si="13"/>
        <v>-3.3014120122958195</v>
      </c>
      <c r="I23" s="56">
        <f t="shared" si="13"/>
        <v>-3.4511922441236775</v>
      </c>
      <c r="J23" s="56">
        <f t="shared" si="13"/>
        <v>-3.5988755527059459</v>
      </c>
      <c r="K23" s="56">
        <f t="shared" si="13"/>
        <v>-3.7444912949680633</v>
      </c>
      <c r="L23" s="56">
        <f t="shared" si="13"/>
        <v>-3.8880684168385105</v>
      </c>
      <c r="M23" s="56">
        <f t="shared" si="13"/>
        <v>-4.0296354590027716</v>
      </c>
      <c r="N23" s="56">
        <f t="shared" si="13"/>
        <v>-4.1692205625767329</v>
      </c>
      <c r="O23" s="56">
        <f t="shared" si="13"/>
        <v>-4.3068514747006583</v>
      </c>
      <c r="P23" s="56">
        <f t="shared" si="13"/>
        <v>-4.4425555540548496</v>
      </c>
      <c r="Q23" s="56">
        <f t="shared" si="13"/>
        <v>-4.576359776298081</v>
      </c>
      <c r="R23" s="56">
        <f t="shared" si="13"/>
        <v>-4.7082907394299083</v>
      </c>
      <c r="S23" s="56">
        <f t="shared" si="13"/>
        <v>-4.838374669077889</v>
      </c>
      <c r="T23" s="56">
        <f t="shared" si="13"/>
        <v>-4.9666374237107984</v>
      </c>
      <c r="U23" s="56">
        <f t="shared" si="13"/>
        <v>-5.0931044997788479</v>
      </c>
      <c r="V23" s="56">
        <f t="shared" si="13"/>
        <v>-5.2178010367819434</v>
      </c>
      <c r="W23" s="56">
        <f t="shared" si="13"/>
        <v>-5.3407518222669967</v>
      </c>
      <c r="X23" s="56">
        <f t="shared" si="13"/>
        <v>-5.4619812967552583</v>
      </c>
      <c r="Y23" s="56">
        <f t="shared" si="13"/>
        <v>-5.581513558600685</v>
      </c>
      <c r="Z23" s="56">
        <f t="shared" si="13"/>
        <v>-5.6993723687802751</v>
      </c>
      <c r="AA23" s="56">
        <f t="shared" si="13"/>
        <v>-5.8155811556173509</v>
      </c>
      <c r="AB23" s="56">
        <f t="shared" si="13"/>
        <v>-5.9301630194387078</v>
      </c>
      <c r="AC23" s="56">
        <f t="shared" si="13"/>
        <v>-6.0431407371665662</v>
      </c>
      <c r="AD23" s="56">
        <f t="shared" si="13"/>
        <v>-6.1545367668462347</v>
      </c>
      <c r="AE23" s="56">
        <f t="shared" si="13"/>
        <v>-6.2643732521103876</v>
      </c>
      <c r="AF23" s="56">
        <f t="shared" si="13"/>
        <v>-6.372672026580843</v>
      </c>
      <c r="AG23" s="56">
        <f t="shared" si="13"/>
        <v>-6.4794546182087105</v>
      </c>
      <c r="AH23" s="56">
        <f t="shared" si="13"/>
        <v>-6.5847422535537889</v>
      </c>
      <c r="AI23" s="56">
        <f t="shared" si="13"/>
        <v>-6.6885558620040362</v>
      </c>
      <c r="AJ23" s="56">
        <f t="shared" si="13"/>
        <v>-6.7909160799359798</v>
      </c>
      <c r="AK23" s="56">
        <f t="shared" si="13"/>
        <v>-6.8918432548168758</v>
      </c>
      <c r="AL23" s="56">
        <f t="shared" si="13"/>
        <v>-6.9913574492494392</v>
      </c>
    </row>
    <row r="24" spans="1:42" x14ac:dyDescent="0.35">
      <c r="A24" s="33" t="s">
        <v>203</v>
      </c>
      <c r="B24" s="34" t="s">
        <v>101</v>
      </c>
      <c r="C24" s="57">
        <f t="shared" ref="C24:AL24" si="14">C21+C22+C23</f>
        <v>191.48</v>
      </c>
      <c r="D24" s="57">
        <f t="shared" si="14"/>
        <v>202.79927999999998</v>
      </c>
      <c r="E24" s="57">
        <f t="shared" si="14"/>
        <v>213.96009007999999</v>
      </c>
      <c r="F24" s="57">
        <f t="shared" si="14"/>
        <v>224.96464881887999</v>
      </c>
      <c r="G24" s="57">
        <f t="shared" si="14"/>
        <v>235.81514373541566</v>
      </c>
      <c r="H24" s="57">
        <f t="shared" si="14"/>
        <v>246.51373172311983</v>
      </c>
      <c r="I24" s="57">
        <f t="shared" si="14"/>
        <v>257.06253947899614</v>
      </c>
      <c r="J24" s="57">
        <f t="shared" si="14"/>
        <v>267.46366392629022</v>
      </c>
      <c r="K24" s="57">
        <f t="shared" si="14"/>
        <v>277.71917263132218</v>
      </c>
      <c r="L24" s="57">
        <f t="shared" si="14"/>
        <v>287.83110421448367</v>
      </c>
      <c r="M24" s="57">
        <f t="shared" si="14"/>
        <v>297.80146875548093</v>
      </c>
      <c r="N24" s="57">
        <f t="shared" si="14"/>
        <v>307.63224819290417</v>
      </c>
      <c r="O24" s="57">
        <f t="shared" si="14"/>
        <v>317.32539671820354</v>
      </c>
      <c r="P24" s="57">
        <f t="shared" si="14"/>
        <v>326.88284116414866</v>
      </c>
      <c r="Q24" s="57">
        <f t="shared" si="14"/>
        <v>336.30648138785057</v>
      </c>
      <c r="R24" s="57">
        <f t="shared" si="14"/>
        <v>345.59819064842065</v>
      </c>
      <c r="S24" s="57">
        <f t="shared" si="14"/>
        <v>354.75981597934276</v>
      </c>
      <c r="T24" s="57">
        <f t="shared" si="14"/>
        <v>363.79317855563198</v>
      </c>
      <c r="U24" s="57">
        <f t="shared" si="14"/>
        <v>372.70007405585312</v>
      </c>
      <c r="V24" s="57">
        <f t="shared" si="14"/>
        <v>381.48227301907116</v>
      </c>
      <c r="W24" s="57">
        <f t="shared" si="14"/>
        <v>390.14152119680415</v>
      </c>
      <c r="X24" s="57">
        <f t="shared" si="14"/>
        <v>398.67953990004889</v>
      </c>
      <c r="Y24" s="57">
        <f t="shared" si="14"/>
        <v>407.09802634144819</v>
      </c>
      <c r="Z24" s="57">
        <f t="shared" si="14"/>
        <v>415.39865397266789</v>
      </c>
      <c r="AA24" s="57">
        <f t="shared" si="14"/>
        <v>423.58307281705055</v>
      </c>
      <c r="AB24" s="57">
        <f t="shared" si="14"/>
        <v>431.65290979761187</v>
      </c>
      <c r="AC24" s="57">
        <f t="shared" si="14"/>
        <v>439.60976906044533</v>
      </c>
      <c r="AD24" s="57">
        <f t="shared" si="14"/>
        <v>447.45523229359912</v>
      </c>
      <c r="AE24" s="57">
        <f t="shared" si="14"/>
        <v>455.19085904148875</v>
      </c>
      <c r="AF24" s="57">
        <f t="shared" si="14"/>
        <v>462.81818701490789</v>
      </c>
      <c r="AG24" s="57">
        <f t="shared" si="14"/>
        <v>470.33873239669919</v>
      </c>
      <c r="AH24" s="57">
        <f t="shared" si="14"/>
        <v>477.75399014314542</v>
      </c>
      <c r="AI24" s="57">
        <f t="shared" si="14"/>
        <v>485.06543428114139</v>
      </c>
      <c r="AJ24" s="57">
        <f t="shared" si="14"/>
        <v>492.27451820120541</v>
      </c>
      <c r="AK24" s="57">
        <f t="shared" si="14"/>
        <v>499.38267494638853</v>
      </c>
      <c r="AL24" s="57">
        <f t="shared" si="14"/>
        <v>506.39131749713908</v>
      </c>
    </row>
    <row r="25" spans="1:42" x14ac:dyDescent="0.35">
      <c r="A25" s="33" t="s">
        <v>204</v>
      </c>
      <c r="B25" s="34" t="s">
        <v>105</v>
      </c>
      <c r="C25" s="58">
        <f>A_MMARPU0</f>
        <v>850</v>
      </c>
      <c r="D25" s="58">
        <f t="shared" ref="D25:AL25" si="15">C25*(1+L_Price)^(1/12)</f>
        <v>852.78267881486909</v>
      </c>
      <c r="E25" s="58">
        <f t="shared" si="15"/>
        <v>855.57446739607553</v>
      </c>
      <c r="F25" s="58">
        <f t="shared" si="15"/>
        <v>858.37539556662375</v>
      </c>
      <c r="G25" s="58">
        <f t="shared" si="15"/>
        <v>861.18549324715093</v>
      </c>
      <c r="H25" s="58">
        <f t="shared" si="15"/>
        <v>864.00479045624672</v>
      </c>
      <c r="I25" s="58">
        <f t="shared" si="15"/>
        <v>866.83331731077374</v>
      </c>
      <c r="J25" s="58">
        <f t="shared" si="15"/>
        <v>869.67110402618948</v>
      </c>
      <c r="K25" s="58">
        <f t="shared" si="15"/>
        <v>872.51818091686891</v>
      </c>
      <c r="L25" s="58">
        <f t="shared" si="15"/>
        <v>875.37457839642832</v>
      </c>
      <c r="M25" s="58">
        <f t="shared" si="15"/>
        <v>878.24032697805035</v>
      </c>
      <c r="N25" s="58">
        <f t="shared" si="15"/>
        <v>881.11545727480973</v>
      </c>
      <c r="O25" s="58">
        <f t="shared" si="15"/>
        <v>884.00000000000068</v>
      </c>
      <c r="P25" s="58">
        <f t="shared" si="15"/>
        <v>886.89398596746457</v>
      </c>
      <c r="Q25" s="58">
        <f t="shared" si="15"/>
        <v>889.79744609191926</v>
      </c>
      <c r="R25" s="58">
        <f t="shared" si="15"/>
        <v>892.71041138928933</v>
      </c>
      <c r="S25" s="58">
        <f t="shared" si="15"/>
        <v>895.63291297703756</v>
      </c>
      <c r="T25" s="58">
        <f t="shared" si="15"/>
        <v>898.56498207449715</v>
      </c>
      <c r="U25" s="58">
        <f t="shared" si="15"/>
        <v>901.50665000320532</v>
      </c>
      <c r="V25" s="58">
        <f t="shared" si="15"/>
        <v>904.45794818723766</v>
      </c>
      <c r="W25" s="58">
        <f t="shared" si="15"/>
        <v>907.41890815354418</v>
      </c>
      <c r="X25" s="58">
        <f t="shared" si="15"/>
        <v>910.38956153228594</v>
      </c>
      <c r="Y25" s="58">
        <f t="shared" si="15"/>
        <v>913.36994005717281</v>
      </c>
      <c r="Z25" s="58">
        <f t="shared" si="15"/>
        <v>916.36007556580262</v>
      </c>
      <c r="AA25" s="58">
        <f t="shared" si="15"/>
        <v>919.36000000000115</v>
      </c>
      <c r="AB25" s="58">
        <f t="shared" si="15"/>
        <v>922.36974540616359</v>
      </c>
      <c r="AC25" s="58">
        <f t="shared" si="15"/>
        <v>925.38934393559646</v>
      </c>
      <c r="AD25" s="58">
        <f t="shared" si="15"/>
        <v>928.41882784486143</v>
      </c>
      <c r="AE25" s="58">
        <f t="shared" si="15"/>
        <v>931.45822949611966</v>
      </c>
      <c r="AF25" s="58">
        <f t="shared" si="15"/>
        <v>934.50758135747765</v>
      </c>
      <c r="AG25" s="58">
        <f t="shared" si="15"/>
        <v>937.56691600333409</v>
      </c>
      <c r="AH25" s="58">
        <f t="shared" si="15"/>
        <v>940.63626611472773</v>
      </c>
      <c r="AI25" s="58">
        <f t="shared" si="15"/>
        <v>943.71566447968655</v>
      </c>
      <c r="AJ25" s="58">
        <f t="shared" si="15"/>
        <v>946.80514399357799</v>
      </c>
      <c r="AK25" s="58">
        <f t="shared" si="15"/>
        <v>949.90473765946035</v>
      </c>
      <c r="AL25" s="58">
        <f t="shared" si="15"/>
        <v>953.0144785884354</v>
      </c>
    </row>
    <row r="27" spans="1:42" x14ac:dyDescent="0.35">
      <c r="A27" s="33" t="s">
        <v>205</v>
      </c>
      <c r="B27" s="34" t="s">
        <v>144</v>
      </c>
      <c r="C27" s="58">
        <f>A_MMCust0*A_MMARPU0</f>
        <v>153000</v>
      </c>
      <c r="D27" s="58">
        <f t="shared" ref="D27:AL27" si="16">C31</f>
        <v>163676</v>
      </c>
      <c r="E27" s="58">
        <f t="shared" si="16"/>
        <v>174305.54950340817</v>
      </c>
      <c r="F27" s="58">
        <f t="shared" si="16"/>
        <v>184889.14765092594</v>
      </c>
      <c r="G27" s="58">
        <f t="shared" si="16"/>
        <v>195427.29000765126</v>
      </c>
      <c r="H27" s="58">
        <f t="shared" si="16"/>
        <v>205920.46859305017</v>
      </c>
      <c r="I27" s="58">
        <f t="shared" si="16"/>
        <v>216369.17191069323</v>
      </c>
      <c r="J27" s="58">
        <f t="shared" si="16"/>
        <v>226773.88497775851</v>
      </c>
      <c r="K27" s="58">
        <f t="shared" si="16"/>
        <v>237135.08935430308</v>
      </c>
      <c r="L27" s="58">
        <f t="shared" si="16"/>
        <v>247453.26317230484</v>
      </c>
      <c r="M27" s="58">
        <f t="shared" si="16"/>
        <v>257728.88116447639</v>
      </c>
      <c r="N27" s="58">
        <f t="shared" si="16"/>
        <v>267962.41469285329</v>
      </c>
      <c r="O27" s="58">
        <f t="shared" si="16"/>
        <v>278154.33177715779</v>
      </c>
      <c r="P27" s="58">
        <f t="shared" si="16"/>
        <v>288305.09712294053</v>
      </c>
      <c r="Q27" s="58">
        <f t="shared" si="16"/>
        <v>298415.17214950151</v>
      </c>
      <c r="R27" s="58">
        <f t="shared" si="16"/>
        <v>308485.01501759235</v>
      </c>
      <c r="S27" s="58">
        <f t="shared" si="16"/>
        <v>318515.08065690164</v>
      </c>
      <c r="T27" s="58">
        <f t="shared" si="16"/>
        <v>328505.82079332497</v>
      </c>
      <c r="U27" s="58">
        <f t="shared" si="16"/>
        <v>338457.6839760213</v>
      </c>
      <c r="V27" s="58">
        <f t="shared" si="16"/>
        <v>348371.11560425803</v>
      </c>
      <c r="W27" s="58">
        <f t="shared" si="16"/>
        <v>358246.5579540453</v>
      </c>
      <c r="X27" s="58">
        <f t="shared" si="16"/>
        <v>368084.45020456257</v>
      </c>
      <c r="Y27" s="58">
        <f t="shared" si="16"/>
        <v>377885.2284643781</v>
      </c>
      <c r="Z27" s="58">
        <f t="shared" si="16"/>
        <v>387649.32579746348</v>
      </c>
      <c r="AA27" s="58">
        <f t="shared" si="16"/>
        <v>397377.172249005</v>
      </c>
      <c r="AB27" s="58">
        <f t="shared" si="16"/>
        <v>407069.19487101299</v>
      </c>
      <c r="AC27" s="58">
        <f t="shared" si="16"/>
        <v>416725.81774773117</v>
      </c>
      <c r="AD27" s="58">
        <f t="shared" si="16"/>
        <v>426347.46202084771</v>
      </c>
      <c r="AE27" s="58">
        <f t="shared" si="16"/>
        <v>435934.54591450898</v>
      </c>
      <c r="AF27" s="58">
        <f t="shared" si="16"/>
        <v>445487.48476013856</v>
      </c>
      <c r="AG27" s="58">
        <f t="shared" si="16"/>
        <v>455006.69102106214</v>
      </c>
      <c r="AH27" s="58">
        <f t="shared" si="16"/>
        <v>464492.57431694027</v>
      </c>
      <c r="AI27" s="58">
        <f t="shared" si="16"/>
        <v>473945.54144801095</v>
      </c>
      <c r="AJ27" s="58">
        <f t="shared" si="16"/>
        <v>483365.99641914247</v>
      </c>
      <c r="AK27" s="58">
        <f t="shared" si="16"/>
        <v>492754.34046369937</v>
      </c>
      <c r="AL27" s="58">
        <f t="shared" si="16"/>
        <v>502110.97206722217</v>
      </c>
    </row>
    <row r="28" spans="1:42" x14ac:dyDescent="0.35">
      <c r="A28" s="33" t="s">
        <v>206</v>
      </c>
      <c r="B28" s="34" t="s">
        <v>144</v>
      </c>
      <c r="C28" s="58">
        <f t="shared" ref="C28:AL28" si="17">C22*C25</f>
        <v>11900</v>
      </c>
      <c r="D28" s="58">
        <f t="shared" si="17"/>
        <v>11938.957503408168</v>
      </c>
      <c r="E28" s="58">
        <f t="shared" si="17"/>
        <v>11978.042543545058</v>
      </c>
      <c r="F28" s="58">
        <f t="shared" si="17"/>
        <v>12017.255537932733</v>
      </c>
      <c r="G28" s="58">
        <f t="shared" si="17"/>
        <v>12056.596905460114</v>
      </c>
      <c r="H28" s="58">
        <f t="shared" si="17"/>
        <v>12096.067066387453</v>
      </c>
      <c r="I28" s="58">
        <f t="shared" si="17"/>
        <v>12135.666442350832</v>
      </c>
      <c r="J28" s="58">
        <f t="shared" si="17"/>
        <v>12175.395456366652</v>
      </c>
      <c r="K28" s="58">
        <f t="shared" si="17"/>
        <v>12215.254532836165</v>
      </c>
      <c r="L28" s="58">
        <f t="shared" si="17"/>
        <v>12255.244097549996</v>
      </c>
      <c r="M28" s="58">
        <f t="shared" si="17"/>
        <v>12295.364577692704</v>
      </c>
      <c r="N28" s="58">
        <f t="shared" si="17"/>
        <v>12335.616401847336</v>
      </c>
      <c r="O28" s="58">
        <f t="shared" si="17"/>
        <v>12376.000000000009</v>
      </c>
      <c r="P28" s="58">
        <f t="shared" si="17"/>
        <v>12416.515803544504</v>
      </c>
      <c r="Q28" s="58">
        <f t="shared" si="17"/>
        <v>12457.164245286869</v>
      </c>
      <c r="R28" s="58">
        <f t="shared" si="17"/>
        <v>12497.945759450051</v>
      </c>
      <c r="S28" s="58">
        <f t="shared" si="17"/>
        <v>12538.860781678526</v>
      </c>
      <c r="T28" s="58">
        <f t="shared" si="17"/>
        <v>12579.909749042959</v>
      </c>
      <c r="U28" s="58">
        <f t="shared" si="17"/>
        <v>12621.093100044875</v>
      </c>
      <c r="V28" s="58">
        <f t="shared" si="17"/>
        <v>12662.411274621327</v>
      </c>
      <c r="W28" s="58">
        <f t="shared" si="17"/>
        <v>12703.864714149619</v>
      </c>
      <c r="X28" s="58">
        <f t="shared" si="17"/>
        <v>12745.453861452002</v>
      </c>
      <c r="Y28" s="58">
        <f t="shared" si="17"/>
        <v>12787.179160800419</v>
      </c>
      <c r="Z28" s="58">
        <f t="shared" si="17"/>
        <v>12829.041057921237</v>
      </c>
      <c r="AA28" s="58">
        <f t="shared" si="17"/>
        <v>12871.040000000015</v>
      </c>
      <c r="AB28" s="58">
        <f t="shared" si="17"/>
        <v>12913.17643568629</v>
      </c>
      <c r="AC28" s="58">
        <f t="shared" si="17"/>
        <v>12955.450815098351</v>
      </c>
      <c r="AD28" s="58">
        <f t="shared" si="17"/>
        <v>12997.863589828059</v>
      </c>
      <c r="AE28" s="58">
        <f t="shared" si="17"/>
        <v>13040.415212945674</v>
      </c>
      <c r="AF28" s="58">
        <f t="shared" si="17"/>
        <v>13083.106139004687</v>
      </c>
      <c r="AG28" s="58">
        <f t="shared" si="17"/>
        <v>13125.936824046677</v>
      </c>
      <c r="AH28" s="58">
        <f t="shared" si="17"/>
        <v>13168.907725606188</v>
      </c>
      <c r="AI28" s="58">
        <f t="shared" si="17"/>
        <v>13212.019302715611</v>
      </c>
      <c r="AJ28" s="58">
        <f t="shared" si="17"/>
        <v>13255.272015910092</v>
      </c>
      <c r="AK28" s="58">
        <f t="shared" si="17"/>
        <v>13298.666327232444</v>
      </c>
      <c r="AL28" s="58">
        <f t="shared" si="17"/>
        <v>13342.202700238096</v>
      </c>
    </row>
    <row r="29" spans="1:42" x14ac:dyDescent="0.35">
      <c r="A29" s="33" t="s">
        <v>207</v>
      </c>
      <c r="B29" s="34" t="s">
        <v>144</v>
      </c>
      <c r="C29" s="58">
        <f t="shared" ref="C29:AL29" si="18">C27*L_ExpMM</f>
        <v>918</v>
      </c>
      <c r="D29" s="58">
        <f t="shared" si="18"/>
        <v>982.05600000000004</v>
      </c>
      <c r="E29" s="58">
        <f t="shared" si="18"/>
        <v>1045.833297020449</v>
      </c>
      <c r="F29" s="58">
        <f t="shared" si="18"/>
        <v>1109.3348859055557</v>
      </c>
      <c r="G29" s="58">
        <f t="shared" si="18"/>
        <v>1172.5637400459075</v>
      </c>
      <c r="H29" s="58">
        <f t="shared" si="18"/>
        <v>1235.5228115583011</v>
      </c>
      <c r="I29" s="58">
        <f t="shared" si="18"/>
        <v>1298.2150314641594</v>
      </c>
      <c r="J29" s="58">
        <f t="shared" si="18"/>
        <v>1360.6433098665511</v>
      </c>
      <c r="K29" s="58">
        <f t="shared" si="18"/>
        <v>1422.8105361258185</v>
      </c>
      <c r="L29" s="58">
        <f t="shared" si="18"/>
        <v>1484.7195790338292</v>
      </c>
      <c r="M29" s="58">
        <f t="shared" si="18"/>
        <v>1546.3732869868584</v>
      </c>
      <c r="N29" s="58">
        <f t="shared" si="18"/>
        <v>1607.7744881571198</v>
      </c>
      <c r="O29" s="58">
        <f t="shared" si="18"/>
        <v>1668.9259906629468</v>
      </c>
      <c r="P29" s="58">
        <f t="shared" si="18"/>
        <v>1729.8305827376432</v>
      </c>
      <c r="Q29" s="58">
        <f t="shared" si="18"/>
        <v>1790.4910328970091</v>
      </c>
      <c r="R29" s="58">
        <f t="shared" si="18"/>
        <v>1850.9100901055542</v>
      </c>
      <c r="S29" s="58">
        <f t="shared" si="18"/>
        <v>1911.09048394141</v>
      </c>
      <c r="T29" s="58">
        <f t="shared" si="18"/>
        <v>1971.0349247599499</v>
      </c>
      <c r="U29" s="58">
        <f t="shared" si="18"/>
        <v>2030.7461038561278</v>
      </c>
      <c r="V29" s="58">
        <f t="shared" si="18"/>
        <v>2090.2266936255483</v>
      </c>
      <c r="W29" s="58">
        <f t="shared" si="18"/>
        <v>2149.479347724272</v>
      </c>
      <c r="X29" s="58">
        <f t="shared" si="18"/>
        <v>2208.5067012273753</v>
      </c>
      <c r="Y29" s="58">
        <f t="shared" si="18"/>
        <v>2267.3113707862685</v>
      </c>
      <c r="Z29" s="58">
        <f t="shared" si="18"/>
        <v>2325.8959547847808</v>
      </c>
      <c r="AA29" s="58">
        <f t="shared" si="18"/>
        <v>2384.26303349403</v>
      </c>
      <c r="AB29" s="58">
        <f t="shared" si="18"/>
        <v>2442.415169226078</v>
      </c>
      <c r="AC29" s="58">
        <f t="shared" si="18"/>
        <v>2500.3549064863869</v>
      </c>
      <c r="AD29" s="58">
        <f t="shared" si="18"/>
        <v>2558.0847721250861</v>
      </c>
      <c r="AE29" s="58">
        <f t="shared" si="18"/>
        <v>2615.6072754870538</v>
      </c>
      <c r="AF29" s="58">
        <f t="shared" si="18"/>
        <v>2672.9249085608312</v>
      </c>
      <c r="AG29" s="58">
        <f t="shared" si="18"/>
        <v>2730.0401461263727</v>
      </c>
      <c r="AH29" s="58">
        <f t="shared" si="18"/>
        <v>2786.9554459016417</v>
      </c>
      <c r="AI29" s="58">
        <f t="shared" si="18"/>
        <v>2843.6732486880655</v>
      </c>
      <c r="AJ29" s="58">
        <f t="shared" si="18"/>
        <v>2900.1959785148547</v>
      </c>
      <c r="AK29" s="58">
        <f t="shared" si="18"/>
        <v>2956.5260427821963</v>
      </c>
      <c r="AL29" s="58">
        <f t="shared" si="18"/>
        <v>3012.6658324033333</v>
      </c>
    </row>
    <row r="30" spans="1:42" x14ac:dyDescent="0.35">
      <c r="A30" s="33" t="s">
        <v>208</v>
      </c>
      <c r="B30" s="34" t="s">
        <v>144</v>
      </c>
      <c r="C30" s="58">
        <f t="shared" ref="C30:AL30" si="19">-C27*L_ChurnMM</f>
        <v>-2142</v>
      </c>
      <c r="D30" s="58">
        <f t="shared" si="19"/>
        <v>-2291.4639999999999</v>
      </c>
      <c r="E30" s="58">
        <f t="shared" si="19"/>
        <v>-2440.2776930477144</v>
      </c>
      <c r="F30" s="58">
        <f t="shared" si="19"/>
        <v>-2588.4480671129631</v>
      </c>
      <c r="G30" s="58">
        <f t="shared" si="19"/>
        <v>-2735.9820601071178</v>
      </c>
      <c r="H30" s="58">
        <f t="shared" si="19"/>
        <v>-2882.8865603027025</v>
      </c>
      <c r="I30" s="58">
        <f t="shared" si="19"/>
        <v>-3029.1684067497054</v>
      </c>
      <c r="J30" s="58">
        <f t="shared" si="19"/>
        <v>-3174.8343896886195</v>
      </c>
      <c r="K30" s="58">
        <f t="shared" si="19"/>
        <v>-3319.8912509602433</v>
      </c>
      <c r="L30" s="58">
        <f t="shared" si="19"/>
        <v>-3464.3456844122679</v>
      </c>
      <c r="M30" s="58">
        <f t="shared" si="19"/>
        <v>-3608.2043363026696</v>
      </c>
      <c r="N30" s="58">
        <f t="shared" si="19"/>
        <v>-3751.4738056999463</v>
      </c>
      <c r="O30" s="58">
        <f t="shared" si="19"/>
        <v>-3894.160644880209</v>
      </c>
      <c r="P30" s="58">
        <f t="shared" si="19"/>
        <v>-4036.2713597211673</v>
      </c>
      <c r="Q30" s="58">
        <f t="shared" si="19"/>
        <v>-4177.8124100930208</v>
      </c>
      <c r="R30" s="58">
        <f t="shared" si="19"/>
        <v>-4318.7902102462931</v>
      </c>
      <c r="S30" s="58">
        <f t="shared" si="19"/>
        <v>-4459.211129196623</v>
      </c>
      <c r="T30" s="58">
        <f t="shared" si="19"/>
        <v>-4599.0814911065499</v>
      </c>
      <c r="U30" s="58">
        <f t="shared" si="19"/>
        <v>-4738.4075756642987</v>
      </c>
      <c r="V30" s="58">
        <f t="shared" si="19"/>
        <v>-4877.1956184596129</v>
      </c>
      <c r="W30" s="58">
        <f t="shared" si="19"/>
        <v>-5015.4518113566346</v>
      </c>
      <c r="X30" s="58">
        <f t="shared" si="19"/>
        <v>-5153.1823028638764</v>
      </c>
      <c r="Y30" s="58">
        <f t="shared" si="19"/>
        <v>-5290.3931985012932</v>
      </c>
      <c r="Z30" s="58">
        <f t="shared" si="19"/>
        <v>-5427.0905611644885</v>
      </c>
      <c r="AA30" s="58">
        <f t="shared" si="19"/>
        <v>-5563.2804114860701</v>
      </c>
      <c r="AB30" s="58">
        <f t="shared" si="19"/>
        <v>-5698.9687281941824</v>
      </c>
      <c r="AC30" s="58">
        <f t="shared" si="19"/>
        <v>-5834.1614484682368</v>
      </c>
      <c r="AD30" s="58">
        <f t="shared" si="19"/>
        <v>-5968.8644682918684</v>
      </c>
      <c r="AE30" s="58">
        <f t="shared" si="19"/>
        <v>-6103.0836428031262</v>
      </c>
      <c r="AF30" s="58">
        <f t="shared" si="19"/>
        <v>-6236.8247866419397</v>
      </c>
      <c r="AG30" s="58">
        <f t="shared" si="19"/>
        <v>-6370.0936742948697</v>
      </c>
      <c r="AH30" s="58">
        <f t="shared" si="19"/>
        <v>-6502.8960404371637</v>
      </c>
      <c r="AI30" s="58">
        <f t="shared" si="19"/>
        <v>-6635.2375802721535</v>
      </c>
      <c r="AJ30" s="58">
        <f t="shared" si="19"/>
        <v>-6767.1239498679943</v>
      </c>
      <c r="AK30" s="58">
        <f t="shared" si="19"/>
        <v>-6898.5607664917916</v>
      </c>
      <c r="AL30" s="58">
        <f t="shared" si="19"/>
        <v>-7029.5536089411107</v>
      </c>
    </row>
    <row r="31" spans="1:42" x14ac:dyDescent="0.35">
      <c r="A31" s="59" t="s">
        <v>209</v>
      </c>
      <c r="B31" s="60" t="s">
        <v>144</v>
      </c>
      <c r="C31" s="61">
        <f t="shared" ref="C31:AL31" si="20">C27+C28+C29+C30</f>
        <v>163676</v>
      </c>
      <c r="D31" s="61">
        <f t="shared" si="20"/>
        <v>174305.54950340817</v>
      </c>
      <c r="E31" s="61">
        <f t="shared" si="20"/>
        <v>184889.14765092594</v>
      </c>
      <c r="F31" s="61">
        <f t="shared" si="20"/>
        <v>195427.29000765126</v>
      </c>
      <c r="G31" s="61">
        <f t="shared" si="20"/>
        <v>205920.46859305017</v>
      </c>
      <c r="H31" s="61">
        <f t="shared" si="20"/>
        <v>216369.17191069323</v>
      </c>
      <c r="I31" s="61">
        <f t="shared" si="20"/>
        <v>226773.88497775851</v>
      </c>
      <c r="J31" s="61">
        <f t="shared" si="20"/>
        <v>237135.08935430308</v>
      </c>
      <c r="K31" s="61">
        <f t="shared" si="20"/>
        <v>247453.26317230484</v>
      </c>
      <c r="L31" s="61">
        <f t="shared" si="20"/>
        <v>257728.88116447639</v>
      </c>
      <c r="M31" s="61">
        <f t="shared" si="20"/>
        <v>267962.41469285329</v>
      </c>
      <c r="N31" s="61">
        <f t="shared" si="20"/>
        <v>278154.33177715779</v>
      </c>
      <c r="O31" s="61">
        <f t="shared" si="20"/>
        <v>288305.09712294053</v>
      </c>
      <c r="P31" s="61">
        <f t="shared" si="20"/>
        <v>298415.17214950151</v>
      </c>
      <c r="Q31" s="61">
        <f t="shared" si="20"/>
        <v>308485.01501759235</v>
      </c>
      <c r="R31" s="61">
        <f t="shared" si="20"/>
        <v>318515.08065690164</v>
      </c>
      <c r="S31" s="61">
        <f t="shared" si="20"/>
        <v>328505.82079332497</v>
      </c>
      <c r="T31" s="61">
        <f t="shared" si="20"/>
        <v>338457.6839760213</v>
      </c>
      <c r="U31" s="61">
        <f t="shared" si="20"/>
        <v>348371.11560425803</v>
      </c>
      <c r="V31" s="61">
        <f t="shared" si="20"/>
        <v>358246.5579540453</v>
      </c>
      <c r="W31" s="61">
        <f t="shared" si="20"/>
        <v>368084.45020456257</v>
      </c>
      <c r="X31" s="61">
        <f t="shared" si="20"/>
        <v>377885.2284643781</v>
      </c>
      <c r="Y31" s="61">
        <f t="shared" si="20"/>
        <v>387649.32579746348</v>
      </c>
      <c r="Z31" s="61">
        <f t="shared" si="20"/>
        <v>397377.172249005</v>
      </c>
      <c r="AA31" s="61">
        <f t="shared" si="20"/>
        <v>407069.19487101299</v>
      </c>
      <c r="AB31" s="61">
        <f t="shared" si="20"/>
        <v>416725.81774773117</v>
      </c>
      <c r="AC31" s="61">
        <f t="shared" si="20"/>
        <v>426347.46202084771</v>
      </c>
      <c r="AD31" s="61">
        <f t="shared" si="20"/>
        <v>435934.54591450898</v>
      </c>
      <c r="AE31" s="61">
        <f t="shared" si="20"/>
        <v>445487.48476013856</v>
      </c>
      <c r="AF31" s="61">
        <f t="shared" si="20"/>
        <v>455006.69102106214</v>
      </c>
      <c r="AG31" s="61">
        <f t="shared" si="20"/>
        <v>464492.57431694027</v>
      </c>
      <c r="AH31" s="61">
        <f t="shared" si="20"/>
        <v>473945.54144801095</v>
      </c>
      <c r="AI31" s="61">
        <f t="shared" si="20"/>
        <v>483365.99641914247</v>
      </c>
      <c r="AJ31" s="61">
        <f t="shared" si="20"/>
        <v>492754.34046369937</v>
      </c>
      <c r="AK31" s="61">
        <f t="shared" si="20"/>
        <v>502110.97206722217</v>
      </c>
      <c r="AL31" s="61">
        <f t="shared" si="20"/>
        <v>511436.28699092253</v>
      </c>
    </row>
    <row r="33" spans="1:42" x14ac:dyDescent="0.35">
      <c r="A33" s="31" t="s">
        <v>211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</row>
    <row r="34" spans="1:42" x14ac:dyDescent="0.35">
      <c r="A34" s="33" t="s">
        <v>212</v>
      </c>
      <c r="B34" s="34" t="s">
        <v>144</v>
      </c>
      <c r="C34" s="62">
        <f t="shared" ref="C34:AL34" si="21">C18+C31</f>
        <v>358076</v>
      </c>
      <c r="D34" s="62">
        <f t="shared" si="21"/>
        <v>383221.74499046785</v>
      </c>
      <c r="E34" s="62">
        <f t="shared" si="21"/>
        <v>408438.45977406448</v>
      </c>
      <c r="F34" s="62">
        <f t="shared" si="21"/>
        <v>433727.36967981653</v>
      </c>
      <c r="G34" s="62">
        <f t="shared" si="21"/>
        <v>459089.7006151487</v>
      </c>
      <c r="H34" s="62">
        <f t="shared" si="21"/>
        <v>484526.6791177956</v>
      </c>
      <c r="I34" s="62">
        <f t="shared" si="21"/>
        <v>510039.53240759694</v>
      </c>
      <c r="J34" s="62">
        <f t="shared" si="21"/>
        <v>535629.48843817716</v>
      </c>
      <c r="K34" s="62">
        <f t="shared" si="21"/>
        <v>561297.7759485133</v>
      </c>
      <c r="L34" s="62">
        <f t="shared" si="21"/>
        <v>587045.62451439153</v>
      </c>
      <c r="M34" s="62">
        <f t="shared" si="21"/>
        <v>612874.26459975762</v>
      </c>
      <c r="N34" s="62">
        <f t="shared" si="21"/>
        <v>638784.92760796123</v>
      </c>
      <c r="O34" s="62">
        <f t="shared" si="21"/>
        <v>664778.84593289811</v>
      </c>
      <c r="P34" s="62">
        <f t="shared" si="21"/>
        <v>690857.25301005086</v>
      </c>
      <c r="Q34" s="62">
        <f t="shared" si="21"/>
        <v>717021.38336743379</v>
      </c>
      <c r="R34" s="62">
        <f t="shared" si="21"/>
        <v>743272.47267643991</v>
      </c>
      <c r="S34" s="62">
        <f t="shared" si="21"/>
        <v>769611.75780259608</v>
      </c>
      <c r="T34" s="62">
        <f t="shared" si="21"/>
        <v>796040.47685622796</v>
      </c>
      <c r="U34" s="62">
        <f t="shared" si="21"/>
        <v>822559.86924303416</v>
      </c>
      <c r="V34" s="62">
        <f t="shared" si="21"/>
        <v>849171.17571457732</v>
      </c>
      <c r="W34" s="62">
        <f t="shared" si="21"/>
        <v>875875.6384186889</v>
      </c>
      <c r="X34" s="62">
        <f t="shared" si="21"/>
        <v>902674.50094979373</v>
      </c>
      <c r="Y34" s="62">
        <f t="shared" si="21"/>
        <v>929569.00839915546</v>
      </c>
      <c r="Z34" s="62">
        <f t="shared" si="21"/>
        <v>956560.40740504442</v>
      </c>
      <c r="AA34" s="62">
        <f t="shared" si="21"/>
        <v>983649.94620283274</v>
      </c>
      <c r="AB34" s="62">
        <f t="shared" si="21"/>
        <v>1010838.8746750138</v>
      </c>
      <c r="AC34" s="62">
        <f t="shared" si="21"/>
        <v>1038128.4444011556</v>
      </c>
      <c r="AD34" s="62">
        <f t="shared" si="21"/>
        <v>1065519.908707784</v>
      </c>
      <c r="AE34" s="62">
        <f t="shared" si="21"/>
        <v>1093014.5227182005</v>
      </c>
      <c r="AF34" s="62">
        <f t="shared" si="21"/>
        <v>1120613.543402239</v>
      </c>
      <c r="AG34" s="62">
        <f t="shared" si="21"/>
        <v>1148318.2296259585</v>
      </c>
      <c r="AH34" s="62">
        <f t="shared" si="21"/>
        <v>1176129.8422012785</v>
      </c>
      <c r="AI34" s="62">
        <f t="shared" si="21"/>
        <v>1204049.6439355598</v>
      </c>
      <c r="AJ34" s="62">
        <f t="shared" si="21"/>
        <v>1232078.8996811262</v>
      </c>
      <c r="AK34" s="62">
        <f t="shared" si="21"/>
        <v>1260218.8763847393</v>
      </c>
      <c r="AL34" s="62">
        <f t="shared" si="21"/>
        <v>1288470.84313702</v>
      </c>
    </row>
    <row r="35" spans="1:42" x14ac:dyDescent="0.35">
      <c r="A35" s="33" t="s">
        <v>213</v>
      </c>
      <c r="B35" s="34" t="s">
        <v>144</v>
      </c>
      <c r="C35" s="62">
        <f t="shared" ref="C35:AL35" si="22">C34*12</f>
        <v>4296912</v>
      </c>
      <c r="D35" s="62">
        <f t="shared" si="22"/>
        <v>4598660.9398856144</v>
      </c>
      <c r="E35" s="62">
        <f t="shared" si="22"/>
        <v>4901261.5172887743</v>
      </c>
      <c r="F35" s="62">
        <f t="shared" si="22"/>
        <v>5204728.4361577984</v>
      </c>
      <c r="G35" s="62">
        <f t="shared" si="22"/>
        <v>5509076.4073817842</v>
      </c>
      <c r="H35" s="62">
        <f t="shared" si="22"/>
        <v>5814320.1494135475</v>
      </c>
      <c r="I35" s="62">
        <f t="shared" si="22"/>
        <v>6120474.3888911633</v>
      </c>
      <c r="J35" s="62">
        <f t="shared" si="22"/>
        <v>6427553.8612581259</v>
      </c>
      <c r="K35" s="62">
        <f t="shared" si="22"/>
        <v>6735573.3113821596</v>
      </c>
      <c r="L35" s="62">
        <f t="shared" si="22"/>
        <v>7044547.4941726979</v>
      </c>
      <c r="M35" s="62">
        <f t="shared" si="22"/>
        <v>7354491.175197091</v>
      </c>
      <c r="N35" s="62">
        <f t="shared" si="22"/>
        <v>7665419.1312955348</v>
      </c>
      <c r="O35" s="62">
        <f t="shared" si="22"/>
        <v>7977346.1511947773</v>
      </c>
      <c r="P35" s="62">
        <f t="shared" si="22"/>
        <v>8290287.0361206103</v>
      </c>
      <c r="Q35" s="62">
        <f t="shared" si="22"/>
        <v>8604256.600409206</v>
      </c>
      <c r="R35" s="62">
        <f t="shared" si="22"/>
        <v>8919269.672117278</v>
      </c>
      <c r="S35" s="62">
        <f t="shared" si="22"/>
        <v>9235341.0936311521</v>
      </c>
      <c r="T35" s="62">
        <f t="shared" si="22"/>
        <v>9552485.7222747356</v>
      </c>
      <c r="U35" s="62">
        <f t="shared" si="22"/>
        <v>9870718.4309164099</v>
      </c>
      <c r="V35" s="62">
        <f t="shared" si="22"/>
        <v>10190054.108574927</v>
      </c>
      <c r="W35" s="62">
        <f t="shared" si="22"/>
        <v>10510507.661024267</v>
      </c>
      <c r="X35" s="62">
        <f t="shared" si="22"/>
        <v>10832094.011397526</v>
      </c>
      <c r="Y35" s="62">
        <f t="shared" si="22"/>
        <v>11154828.100789865</v>
      </c>
      <c r="Z35" s="62">
        <f t="shared" si="22"/>
        <v>11478724.888860533</v>
      </c>
      <c r="AA35" s="62">
        <f t="shared" si="22"/>
        <v>11803799.354433993</v>
      </c>
      <c r="AB35" s="62">
        <f t="shared" si="22"/>
        <v>12130066.496100165</v>
      </c>
      <c r="AC35" s="62">
        <f t="shared" si="22"/>
        <v>12457541.332813866</v>
      </c>
      <c r="AD35" s="62">
        <f t="shared" si="22"/>
        <v>12786238.904493408</v>
      </c>
      <c r="AE35" s="62">
        <f t="shared" si="22"/>
        <v>13116174.272618406</v>
      </c>
      <c r="AF35" s="62">
        <f t="shared" si="22"/>
        <v>13447362.520826869</v>
      </c>
      <c r="AG35" s="62">
        <f t="shared" si="22"/>
        <v>13779818.755511502</v>
      </c>
      <c r="AH35" s="62">
        <f t="shared" si="22"/>
        <v>14113558.106415343</v>
      </c>
      <c r="AI35" s="62">
        <f t="shared" si="22"/>
        <v>14448595.727226717</v>
      </c>
      <c r="AJ35" s="62">
        <f t="shared" si="22"/>
        <v>14784946.796173515</v>
      </c>
      <c r="AK35" s="62">
        <f t="shared" si="22"/>
        <v>15122626.516616872</v>
      </c>
      <c r="AL35" s="62">
        <f t="shared" si="22"/>
        <v>15461650.117644239</v>
      </c>
    </row>
    <row r="36" spans="1:42" x14ac:dyDescent="0.35">
      <c r="A36" s="59" t="s">
        <v>214</v>
      </c>
      <c r="B36" s="60" t="s">
        <v>144</v>
      </c>
      <c r="C36" s="61">
        <f t="shared" ref="C36:AL36" si="23">C34</f>
        <v>358076</v>
      </c>
      <c r="D36" s="61">
        <f t="shared" si="23"/>
        <v>383221.74499046785</v>
      </c>
      <c r="E36" s="61">
        <f t="shared" si="23"/>
        <v>408438.45977406448</v>
      </c>
      <c r="F36" s="61">
        <f t="shared" si="23"/>
        <v>433727.36967981653</v>
      </c>
      <c r="G36" s="61">
        <f t="shared" si="23"/>
        <v>459089.7006151487</v>
      </c>
      <c r="H36" s="61">
        <f t="shared" si="23"/>
        <v>484526.6791177956</v>
      </c>
      <c r="I36" s="61">
        <f t="shared" si="23"/>
        <v>510039.53240759694</v>
      </c>
      <c r="J36" s="61">
        <f t="shared" si="23"/>
        <v>535629.48843817716</v>
      </c>
      <c r="K36" s="61">
        <f t="shared" si="23"/>
        <v>561297.7759485133</v>
      </c>
      <c r="L36" s="61">
        <f t="shared" si="23"/>
        <v>587045.62451439153</v>
      </c>
      <c r="M36" s="61">
        <f t="shared" si="23"/>
        <v>612874.26459975762</v>
      </c>
      <c r="N36" s="61">
        <f t="shared" si="23"/>
        <v>638784.92760796123</v>
      </c>
      <c r="O36" s="61">
        <f t="shared" si="23"/>
        <v>664778.84593289811</v>
      </c>
      <c r="P36" s="61">
        <f t="shared" si="23"/>
        <v>690857.25301005086</v>
      </c>
      <c r="Q36" s="61">
        <f t="shared" si="23"/>
        <v>717021.38336743379</v>
      </c>
      <c r="R36" s="61">
        <f t="shared" si="23"/>
        <v>743272.47267643991</v>
      </c>
      <c r="S36" s="61">
        <f t="shared" si="23"/>
        <v>769611.75780259608</v>
      </c>
      <c r="T36" s="61">
        <f t="shared" si="23"/>
        <v>796040.47685622796</v>
      </c>
      <c r="U36" s="61">
        <f t="shared" si="23"/>
        <v>822559.86924303416</v>
      </c>
      <c r="V36" s="61">
        <f t="shared" si="23"/>
        <v>849171.17571457732</v>
      </c>
      <c r="W36" s="61">
        <f t="shared" si="23"/>
        <v>875875.6384186889</v>
      </c>
      <c r="X36" s="61">
        <f t="shared" si="23"/>
        <v>902674.50094979373</v>
      </c>
      <c r="Y36" s="61">
        <f t="shared" si="23"/>
        <v>929569.00839915546</v>
      </c>
      <c r="Z36" s="61">
        <f t="shared" si="23"/>
        <v>956560.40740504442</v>
      </c>
      <c r="AA36" s="61">
        <f t="shared" si="23"/>
        <v>983649.94620283274</v>
      </c>
      <c r="AB36" s="61">
        <f t="shared" si="23"/>
        <v>1010838.8746750138</v>
      </c>
      <c r="AC36" s="61">
        <f t="shared" si="23"/>
        <v>1038128.4444011556</v>
      </c>
      <c r="AD36" s="61">
        <f t="shared" si="23"/>
        <v>1065519.908707784</v>
      </c>
      <c r="AE36" s="61">
        <f t="shared" si="23"/>
        <v>1093014.5227182005</v>
      </c>
      <c r="AF36" s="61">
        <f t="shared" si="23"/>
        <v>1120613.543402239</v>
      </c>
      <c r="AG36" s="61">
        <f t="shared" si="23"/>
        <v>1148318.2296259585</v>
      </c>
      <c r="AH36" s="61">
        <f t="shared" si="23"/>
        <v>1176129.8422012785</v>
      </c>
      <c r="AI36" s="61">
        <f t="shared" si="23"/>
        <v>1204049.6439355598</v>
      </c>
      <c r="AJ36" s="61">
        <f t="shared" si="23"/>
        <v>1232078.8996811262</v>
      </c>
      <c r="AK36" s="61">
        <f t="shared" si="23"/>
        <v>1260218.8763847393</v>
      </c>
      <c r="AL36" s="61">
        <f t="shared" si="23"/>
        <v>1288470.84313702</v>
      </c>
    </row>
    <row r="37" spans="1:42" x14ac:dyDescent="0.35">
      <c r="A37" s="63" t="s">
        <v>215</v>
      </c>
      <c r="B37" s="34" t="s">
        <v>144</v>
      </c>
      <c r="C37" s="58">
        <f t="shared" ref="C37:AL37" si="24">C18</f>
        <v>194400</v>
      </c>
      <c r="D37" s="58">
        <f t="shared" si="24"/>
        <v>208916.19548705968</v>
      </c>
      <c r="E37" s="58">
        <f t="shared" si="24"/>
        <v>223549.31212313854</v>
      </c>
      <c r="F37" s="58">
        <f t="shared" si="24"/>
        <v>238300.0796721653</v>
      </c>
      <c r="G37" s="58">
        <f t="shared" si="24"/>
        <v>253169.23202209853</v>
      </c>
      <c r="H37" s="58">
        <f t="shared" si="24"/>
        <v>268157.50720710238</v>
      </c>
      <c r="I37" s="58">
        <f t="shared" si="24"/>
        <v>283265.64742983843</v>
      </c>
      <c r="J37" s="58">
        <f t="shared" si="24"/>
        <v>298494.39908387413</v>
      </c>
      <c r="K37" s="58">
        <f t="shared" si="24"/>
        <v>313844.51277620846</v>
      </c>
      <c r="L37" s="58">
        <f t="shared" si="24"/>
        <v>329316.74334991514</v>
      </c>
      <c r="M37" s="58">
        <f t="shared" si="24"/>
        <v>344911.84990690433</v>
      </c>
      <c r="N37" s="58">
        <f t="shared" si="24"/>
        <v>360630.5958308035</v>
      </c>
      <c r="O37" s="58">
        <f t="shared" si="24"/>
        <v>376473.74880995753</v>
      </c>
      <c r="P37" s="58">
        <f t="shared" si="24"/>
        <v>392442.08086054941</v>
      </c>
      <c r="Q37" s="58">
        <f t="shared" si="24"/>
        <v>408536.36834984145</v>
      </c>
      <c r="R37" s="58">
        <f t="shared" si="24"/>
        <v>424757.39201953821</v>
      </c>
      <c r="S37" s="58">
        <f t="shared" si="24"/>
        <v>441105.93700927118</v>
      </c>
      <c r="T37" s="58">
        <f t="shared" si="24"/>
        <v>457582.7928802066</v>
      </c>
      <c r="U37" s="58">
        <f t="shared" si="24"/>
        <v>474188.75363877619</v>
      </c>
      <c r="V37" s="58">
        <f t="shared" si="24"/>
        <v>490924.61776053207</v>
      </c>
      <c r="W37" s="58">
        <f t="shared" si="24"/>
        <v>507791.18821412633</v>
      </c>
      <c r="X37" s="58">
        <f t="shared" si="24"/>
        <v>524789.27248541568</v>
      </c>
      <c r="Y37" s="58">
        <f t="shared" si="24"/>
        <v>541919.68260169192</v>
      </c>
      <c r="Z37" s="58">
        <f t="shared" si="24"/>
        <v>559183.23515603947</v>
      </c>
      <c r="AA37" s="58">
        <f t="shared" si="24"/>
        <v>576580.75133181969</v>
      </c>
      <c r="AB37" s="58">
        <f t="shared" si="24"/>
        <v>594113.0569272826</v>
      </c>
      <c r="AC37" s="58">
        <f t="shared" si="24"/>
        <v>611780.98238030786</v>
      </c>
      <c r="AD37" s="58">
        <f t="shared" si="24"/>
        <v>629585.36279327492</v>
      </c>
      <c r="AE37" s="58">
        <f t="shared" si="24"/>
        <v>647527.03795806202</v>
      </c>
      <c r="AF37" s="58">
        <f t="shared" si="24"/>
        <v>665606.8523811769</v>
      </c>
      <c r="AG37" s="58">
        <f t="shared" si="24"/>
        <v>683825.6553090181</v>
      </c>
      <c r="AH37" s="58">
        <f t="shared" si="24"/>
        <v>702184.30075326771</v>
      </c>
      <c r="AI37" s="58">
        <f t="shared" si="24"/>
        <v>720683.64751641732</v>
      </c>
      <c r="AJ37" s="58">
        <f t="shared" si="24"/>
        <v>739324.55921742681</v>
      </c>
      <c r="AK37" s="58">
        <f t="shared" si="24"/>
        <v>758107.90431751718</v>
      </c>
      <c r="AL37" s="58">
        <f t="shared" si="24"/>
        <v>777034.55614609749</v>
      </c>
    </row>
    <row r="38" spans="1:42" x14ac:dyDescent="0.35">
      <c r="A38" s="63" t="s">
        <v>216</v>
      </c>
      <c r="B38" s="34" t="s">
        <v>144</v>
      </c>
      <c r="C38" s="58">
        <f t="shared" ref="C38:AL38" si="25">C31</f>
        <v>163676</v>
      </c>
      <c r="D38" s="58">
        <f t="shared" si="25"/>
        <v>174305.54950340817</v>
      </c>
      <c r="E38" s="58">
        <f t="shared" si="25"/>
        <v>184889.14765092594</v>
      </c>
      <c r="F38" s="58">
        <f t="shared" si="25"/>
        <v>195427.29000765126</v>
      </c>
      <c r="G38" s="58">
        <f t="shared" si="25"/>
        <v>205920.46859305017</v>
      </c>
      <c r="H38" s="58">
        <f t="shared" si="25"/>
        <v>216369.17191069323</v>
      </c>
      <c r="I38" s="58">
        <f t="shared" si="25"/>
        <v>226773.88497775851</v>
      </c>
      <c r="J38" s="58">
        <f t="shared" si="25"/>
        <v>237135.08935430308</v>
      </c>
      <c r="K38" s="58">
        <f t="shared" si="25"/>
        <v>247453.26317230484</v>
      </c>
      <c r="L38" s="58">
        <f t="shared" si="25"/>
        <v>257728.88116447639</v>
      </c>
      <c r="M38" s="58">
        <f t="shared" si="25"/>
        <v>267962.41469285329</v>
      </c>
      <c r="N38" s="58">
        <f t="shared" si="25"/>
        <v>278154.33177715779</v>
      </c>
      <c r="O38" s="58">
        <f t="shared" si="25"/>
        <v>288305.09712294053</v>
      </c>
      <c r="P38" s="58">
        <f t="shared" si="25"/>
        <v>298415.17214950151</v>
      </c>
      <c r="Q38" s="58">
        <f t="shared" si="25"/>
        <v>308485.01501759235</v>
      </c>
      <c r="R38" s="58">
        <f t="shared" si="25"/>
        <v>318515.08065690164</v>
      </c>
      <c r="S38" s="58">
        <f t="shared" si="25"/>
        <v>328505.82079332497</v>
      </c>
      <c r="T38" s="58">
        <f t="shared" si="25"/>
        <v>338457.6839760213</v>
      </c>
      <c r="U38" s="58">
        <f t="shared" si="25"/>
        <v>348371.11560425803</v>
      </c>
      <c r="V38" s="58">
        <f t="shared" si="25"/>
        <v>358246.5579540453</v>
      </c>
      <c r="W38" s="58">
        <f t="shared" si="25"/>
        <v>368084.45020456257</v>
      </c>
      <c r="X38" s="58">
        <f t="shared" si="25"/>
        <v>377885.2284643781</v>
      </c>
      <c r="Y38" s="58">
        <f t="shared" si="25"/>
        <v>387649.32579746348</v>
      </c>
      <c r="Z38" s="58">
        <f t="shared" si="25"/>
        <v>397377.172249005</v>
      </c>
      <c r="AA38" s="58">
        <f t="shared" si="25"/>
        <v>407069.19487101299</v>
      </c>
      <c r="AB38" s="58">
        <f t="shared" si="25"/>
        <v>416725.81774773117</v>
      </c>
      <c r="AC38" s="58">
        <f t="shared" si="25"/>
        <v>426347.46202084771</v>
      </c>
      <c r="AD38" s="58">
        <f t="shared" si="25"/>
        <v>435934.54591450898</v>
      </c>
      <c r="AE38" s="58">
        <f t="shared" si="25"/>
        <v>445487.48476013856</v>
      </c>
      <c r="AF38" s="58">
        <f t="shared" si="25"/>
        <v>455006.69102106214</v>
      </c>
      <c r="AG38" s="58">
        <f t="shared" si="25"/>
        <v>464492.57431694027</v>
      </c>
      <c r="AH38" s="58">
        <f t="shared" si="25"/>
        <v>473945.54144801095</v>
      </c>
      <c r="AI38" s="58">
        <f t="shared" si="25"/>
        <v>483365.99641914247</v>
      </c>
      <c r="AJ38" s="58">
        <f t="shared" si="25"/>
        <v>492754.34046369937</v>
      </c>
      <c r="AK38" s="58">
        <f t="shared" si="25"/>
        <v>502110.97206722217</v>
      </c>
      <c r="AL38" s="58">
        <f t="shared" si="25"/>
        <v>511436.28699092253</v>
      </c>
    </row>
    <row r="40" spans="1:42" x14ac:dyDescent="0.35">
      <c r="A40" s="31" t="s">
        <v>217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</row>
    <row r="41" spans="1:42" x14ac:dyDescent="0.35">
      <c r="A41" s="33" t="s">
        <v>218</v>
      </c>
      <c r="B41" s="34" t="s">
        <v>144</v>
      </c>
      <c r="C41" s="58">
        <f t="shared" ref="C41:AL41" si="26">(C14+C27)*12</f>
        <v>3996000</v>
      </c>
      <c r="D41" s="58">
        <f t="shared" si="26"/>
        <v>4296912</v>
      </c>
      <c r="E41" s="58">
        <f t="shared" si="26"/>
        <v>4598660.9398856144</v>
      </c>
      <c r="F41" s="58">
        <f t="shared" si="26"/>
        <v>4901261.5172887743</v>
      </c>
      <c r="G41" s="58">
        <f t="shared" si="26"/>
        <v>5204728.4361577984</v>
      </c>
      <c r="H41" s="58">
        <f t="shared" si="26"/>
        <v>5509076.4073817842</v>
      </c>
      <c r="I41" s="58">
        <f t="shared" si="26"/>
        <v>5814320.1494135475</v>
      </c>
      <c r="J41" s="58">
        <f t="shared" si="26"/>
        <v>6120474.3888911633</v>
      </c>
      <c r="K41" s="58">
        <f t="shared" si="26"/>
        <v>6427553.8612581259</v>
      </c>
      <c r="L41" s="58">
        <f t="shared" si="26"/>
        <v>6735573.3113821596</v>
      </c>
      <c r="M41" s="58">
        <f t="shared" si="26"/>
        <v>7044547.4941726979</v>
      </c>
      <c r="N41" s="58">
        <f t="shared" si="26"/>
        <v>7354491.175197091</v>
      </c>
      <c r="O41" s="58">
        <f t="shared" si="26"/>
        <v>7665419.1312955348</v>
      </c>
      <c r="P41" s="58">
        <f t="shared" si="26"/>
        <v>7977346.1511947773</v>
      </c>
      <c r="Q41" s="58">
        <f t="shared" si="26"/>
        <v>8290287.0361206103</v>
      </c>
      <c r="R41" s="58">
        <f t="shared" si="26"/>
        <v>8604256.600409206</v>
      </c>
      <c r="S41" s="58">
        <f t="shared" si="26"/>
        <v>8919269.672117278</v>
      </c>
      <c r="T41" s="58">
        <f t="shared" si="26"/>
        <v>9235341.0936311521</v>
      </c>
      <c r="U41" s="58">
        <f t="shared" si="26"/>
        <v>9552485.7222747356</v>
      </c>
      <c r="V41" s="58">
        <f t="shared" si="26"/>
        <v>9870718.4309164099</v>
      </c>
      <c r="W41" s="58">
        <f t="shared" si="26"/>
        <v>10190054.108574927</v>
      </c>
      <c r="X41" s="58">
        <f t="shared" si="26"/>
        <v>10510507.661024267</v>
      </c>
      <c r="Y41" s="58">
        <f t="shared" si="26"/>
        <v>10832094.011397526</v>
      </c>
      <c r="Z41" s="58">
        <f t="shared" si="26"/>
        <v>11154828.100789865</v>
      </c>
      <c r="AA41" s="58">
        <f t="shared" si="26"/>
        <v>11478724.888860533</v>
      </c>
      <c r="AB41" s="58">
        <f t="shared" si="26"/>
        <v>11803799.354433993</v>
      </c>
      <c r="AC41" s="58">
        <f t="shared" si="26"/>
        <v>12130066.496100165</v>
      </c>
      <c r="AD41" s="58">
        <f t="shared" si="26"/>
        <v>12457541.332813866</v>
      </c>
      <c r="AE41" s="58">
        <f t="shared" si="26"/>
        <v>12786238.904493408</v>
      </c>
      <c r="AF41" s="58">
        <f t="shared" si="26"/>
        <v>13116174.272618406</v>
      </c>
      <c r="AG41" s="58">
        <f t="shared" si="26"/>
        <v>13447362.520826869</v>
      </c>
      <c r="AH41" s="58">
        <f t="shared" si="26"/>
        <v>13779818.755511502</v>
      </c>
      <c r="AI41" s="58">
        <f t="shared" si="26"/>
        <v>14113558.106415343</v>
      </c>
      <c r="AJ41" s="58">
        <f t="shared" si="26"/>
        <v>14448595.727226717</v>
      </c>
      <c r="AK41" s="58">
        <f t="shared" si="26"/>
        <v>14784946.796173515</v>
      </c>
      <c r="AL41" s="58">
        <f t="shared" si="26"/>
        <v>15122626.516616872</v>
      </c>
    </row>
    <row r="42" spans="1:42" x14ac:dyDescent="0.35">
      <c r="A42" s="33" t="s">
        <v>219</v>
      </c>
      <c r="B42" s="34" t="s">
        <v>144</v>
      </c>
      <c r="C42" s="58">
        <f t="shared" ref="C42:AL42" si="27">(C15+C28)*12</f>
        <v>304800</v>
      </c>
      <c r="D42" s="58">
        <f t="shared" si="27"/>
        <v>305797.83588561427</v>
      </c>
      <c r="E42" s="58">
        <f t="shared" si="27"/>
        <v>306798.93842626334</v>
      </c>
      <c r="F42" s="58">
        <f t="shared" si="27"/>
        <v>307803.31831612578</v>
      </c>
      <c r="G42" s="58">
        <f t="shared" si="27"/>
        <v>308810.98628439009</v>
      </c>
      <c r="H42" s="58">
        <f t="shared" si="27"/>
        <v>309821.95309536939</v>
      </c>
      <c r="I42" s="58">
        <f t="shared" si="27"/>
        <v>310836.22954861622</v>
      </c>
      <c r="J42" s="58">
        <f t="shared" si="27"/>
        <v>311853.82647903828</v>
      </c>
      <c r="K42" s="58">
        <f t="shared" si="27"/>
        <v>312874.75475701364</v>
      </c>
      <c r="L42" s="58">
        <f t="shared" si="27"/>
        <v>313899.0252885074</v>
      </c>
      <c r="M42" s="58">
        <f t="shared" si="27"/>
        <v>314926.64901518787</v>
      </c>
      <c r="N42" s="58">
        <f t="shared" si="27"/>
        <v>315957.63691454346</v>
      </c>
      <c r="O42" s="58">
        <f t="shared" si="27"/>
        <v>316992.00000000017</v>
      </c>
      <c r="P42" s="58">
        <f t="shared" si="27"/>
        <v>318029.74932103901</v>
      </c>
      <c r="Q42" s="58">
        <f t="shared" si="27"/>
        <v>319070.89596331405</v>
      </c>
      <c r="R42" s="58">
        <f t="shared" si="27"/>
        <v>320115.45104877098</v>
      </c>
      <c r="S42" s="58">
        <f t="shared" si="27"/>
        <v>321163.42573576589</v>
      </c>
      <c r="T42" s="58">
        <f t="shared" si="27"/>
        <v>322214.83121918433</v>
      </c>
      <c r="U42" s="58">
        <f t="shared" si="27"/>
        <v>323269.67873056105</v>
      </c>
      <c r="V42" s="58">
        <f t="shared" si="27"/>
        <v>324327.97953819996</v>
      </c>
      <c r="W42" s="58">
        <f t="shared" si="27"/>
        <v>325389.74494729436</v>
      </c>
      <c r="X42" s="58">
        <f t="shared" si="27"/>
        <v>326454.98630004784</v>
      </c>
      <c r="Y42" s="58">
        <f t="shared" si="27"/>
        <v>327523.71497579548</v>
      </c>
      <c r="Z42" s="58">
        <f t="shared" si="27"/>
        <v>328595.94239112537</v>
      </c>
      <c r="AA42" s="58">
        <f t="shared" si="27"/>
        <v>329671.68000000028</v>
      </c>
      <c r="AB42" s="58">
        <f t="shared" si="27"/>
        <v>330750.93929388071</v>
      </c>
      <c r="AC42" s="58">
        <f t="shared" si="27"/>
        <v>331833.73180184665</v>
      </c>
      <c r="AD42" s="58">
        <f t="shared" si="27"/>
        <v>332920.0690907219</v>
      </c>
      <c r="AE42" s="58">
        <f t="shared" si="27"/>
        <v>334009.96276519663</v>
      </c>
      <c r="AF42" s="58">
        <f t="shared" si="27"/>
        <v>335103.42446795182</v>
      </c>
      <c r="AG42" s="58">
        <f t="shared" si="27"/>
        <v>336200.46587978362</v>
      </c>
      <c r="AH42" s="58">
        <f t="shared" si="27"/>
        <v>337301.09871972806</v>
      </c>
      <c r="AI42" s="58">
        <f t="shared" si="27"/>
        <v>338405.33474518626</v>
      </c>
      <c r="AJ42" s="58">
        <f t="shared" si="27"/>
        <v>339513.1857520499</v>
      </c>
      <c r="AK42" s="58">
        <f t="shared" si="27"/>
        <v>340624.66357482749</v>
      </c>
      <c r="AL42" s="58">
        <f t="shared" si="27"/>
        <v>341739.78008677054</v>
      </c>
    </row>
    <row r="43" spans="1:42" x14ac:dyDescent="0.35">
      <c r="A43" s="33" t="s">
        <v>220</v>
      </c>
      <c r="B43" s="34" t="s">
        <v>144</v>
      </c>
      <c r="C43" s="58">
        <f t="shared" ref="C43:AL43" si="28">(C16+C29)*12</f>
        <v>36936</v>
      </c>
      <c r="D43" s="58">
        <f t="shared" si="28"/>
        <v>39778.272000000004</v>
      </c>
      <c r="E43" s="58">
        <f t="shared" si="28"/>
        <v>42633.931714381979</v>
      </c>
      <c r="F43" s="58">
        <f t="shared" si="28"/>
        <v>45503.119576598619</v>
      </c>
      <c r="G43" s="58">
        <f t="shared" si="28"/>
        <v>48385.976353342696</v>
      </c>
      <c r="H43" s="58">
        <f t="shared" si="28"/>
        <v>51282.643149881798</v>
      </c>
      <c r="I43" s="58">
        <f t="shared" si="28"/>
        <v>54193.261415392655</v>
      </c>
      <c r="J43" s="58">
        <f t="shared" si="28"/>
        <v>57117.972948295348</v>
      </c>
      <c r="K43" s="58">
        <f t="shared" si="28"/>
        <v>60056.919901587695</v>
      </c>
      <c r="L43" s="58">
        <f t="shared" si="28"/>
        <v>63010.244788179967</v>
      </c>
      <c r="M43" s="58">
        <f t="shared" si="28"/>
        <v>65978.090486230081</v>
      </c>
      <c r="N43" s="58">
        <f t="shared" si="28"/>
        <v>68960.600244479661</v>
      </c>
      <c r="O43" s="58">
        <f t="shared" si="28"/>
        <v>71957.917687591063</v>
      </c>
      <c r="P43" s="58">
        <f t="shared" si="28"/>
        <v>74970.186821485608</v>
      </c>
      <c r="Q43" s="58">
        <f t="shared" si="28"/>
        <v>77997.552038683236</v>
      </c>
      <c r="R43" s="58">
        <f t="shared" si="28"/>
        <v>81040.158123643821</v>
      </c>
      <c r="S43" s="58">
        <f t="shared" si="28"/>
        <v>84098.150258110414</v>
      </c>
      <c r="T43" s="58">
        <f t="shared" si="28"/>
        <v>87171.67402645445</v>
      </c>
      <c r="U43" s="58">
        <f t="shared" si="28"/>
        <v>90260.875421023287</v>
      </c>
      <c r="V43" s="58">
        <f t="shared" si="28"/>
        <v>93365.900847490353</v>
      </c>
      <c r="W43" s="58">
        <f t="shared" si="28"/>
        <v>96486.897130207886</v>
      </c>
      <c r="X43" s="58">
        <f t="shared" si="28"/>
        <v>99624.0115175627</v>
      </c>
      <c r="Y43" s="58">
        <f t="shared" si="28"/>
        <v>102777.3916873351</v>
      </c>
      <c r="Z43" s="58">
        <f t="shared" si="28"/>
        <v>105947.18575206102</v>
      </c>
      <c r="AA43" s="58">
        <f t="shared" si="28"/>
        <v>109133.54226439804</v>
      </c>
      <c r="AB43" s="58">
        <f t="shared" si="28"/>
        <v>112336.61022249499</v>
      </c>
      <c r="AC43" s="58">
        <f t="shared" si="28"/>
        <v>115556.53907536535</v>
      </c>
      <c r="AD43" s="58">
        <f t="shared" si="28"/>
        <v>118793.47872826537</v>
      </c>
      <c r="AE43" s="58">
        <f t="shared" si="28"/>
        <v>122047.57954807623</v>
      </c>
      <c r="AF43" s="58">
        <f t="shared" si="28"/>
        <v>125318.9923686909</v>
      </c>
      <c r="AG43" s="58">
        <f t="shared" si="28"/>
        <v>128607.86849640595</v>
      </c>
      <c r="AH43" s="58">
        <f t="shared" si="28"/>
        <v>131914.35971531831</v>
      </c>
      <c r="AI43" s="58">
        <f t="shared" si="28"/>
        <v>135238.61829272733</v>
      </c>
      <c r="AJ43" s="58">
        <f t="shared" si="28"/>
        <v>138580.79698454234</v>
      </c>
      <c r="AK43" s="58">
        <f t="shared" si="28"/>
        <v>141941.04904069583</v>
      </c>
      <c r="AL43" s="58">
        <f t="shared" si="28"/>
        <v>145319.52821056248</v>
      </c>
    </row>
    <row r="44" spans="1:42" x14ac:dyDescent="0.35">
      <c r="A44" s="33" t="s">
        <v>221</v>
      </c>
      <c r="B44" s="34" t="s">
        <v>144</v>
      </c>
      <c r="C44" s="58">
        <f t="shared" ref="C44:AL44" si="29">(C17+C30)*12</f>
        <v>-40824</v>
      </c>
      <c r="D44" s="58">
        <f t="shared" si="29"/>
        <v>-43827.168000000005</v>
      </c>
      <c r="E44" s="58">
        <f t="shared" si="29"/>
        <v>-46832.292737485594</v>
      </c>
      <c r="F44" s="58">
        <f t="shared" si="29"/>
        <v>-49839.519023699191</v>
      </c>
      <c r="G44" s="58">
        <f t="shared" si="29"/>
        <v>-52848.991413747302</v>
      </c>
      <c r="H44" s="58">
        <f t="shared" si="29"/>
        <v>-55860.85421348871</v>
      </c>
      <c r="I44" s="58">
        <f t="shared" si="29"/>
        <v>-58875.251486393063</v>
      </c>
      <c r="J44" s="58">
        <f t="shared" si="29"/>
        <v>-61892.327060369862</v>
      </c>
      <c r="K44" s="58">
        <f t="shared" si="29"/>
        <v>-64912.224534568348</v>
      </c>
      <c r="L44" s="58">
        <f t="shared" si="29"/>
        <v>-67935.08728614873</v>
      </c>
      <c r="M44" s="58">
        <f t="shared" si="29"/>
        <v>-70961.058477024912</v>
      </c>
      <c r="N44" s="58">
        <f t="shared" si="29"/>
        <v>-73990.28106057932</v>
      </c>
      <c r="O44" s="58">
        <f t="shared" si="29"/>
        <v>-77022.897788350005</v>
      </c>
      <c r="P44" s="58">
        <f t="shared" si="29"/>
        <v>-80059.051216690437</v>
      </c>
      <c r="Q44" s="58">
        <f t="shared" si="29"/>
        <v>-83098.883713402407</v>
      </c>
      <c r="R44" s="58">
        <f t="shared" si="29"/>
        <v>-86142.537464342196</v>
      </c>
      <c r="S44" s="58">
        <f t="shared" si="29"/>
        <v>-89190.154480000681</v>
      </c>
      <c r="T44" s="58">
        <f t="shared" si="29"/>
        <v>-92241.876602057368</v>
      </c>
      <c r="U44" s="58">
        <f t="shared" si="29"/>
        <v>-95297.845509908933</v>
      </c>
      <c r="V44" s="58">
        <f t="shared" si="29"/>
        <v>-98358.202727172553</v>
      </c>
      <c r="W44" s="58">
        <f t="shared" si="29"/>
        <v>-101423.08962816431</v>
      </c>
      <c r="X44" s="58">
        <f t="shared" si="29"/>
        <v>-104492.64744435313</v>
      </c>
      <c r="Y44" s="58">
        <f t="shared" si="29"/>
        <v>-107567.01727079044</v>
      </c>
      <c r="Z44" s="58">
        <f t="shared" si="29"/>
        <v>-110646.34007251597</v>
      </c>
      <c r="AA44" s="58">
        <f t="shared" si="29"/>
        <v>-113730.75669094016</v>
      </c>
      <c r="AB44" s="58">
        <f t="shared" si="29"/>
        <v>-116820.40785020303</v>
      </c>
      <c r="AC44" s="58">
        <f t="shared" si="29"/>
        <v>-119915.43416351058</v>
      </c>
      <c r="AD44" s="58">
        <f t="shared" si="29"/>
        <v>-123015.97613944829</v>
      </c>
      <c r="AE44" s="58">
        <f t="shared" si="29"/>
        <v>-126122.17418827262</v>
      </c>
      <c r="AF44" s="58">
        <f t="shared" si="29"/>
        <v>-129234.1686281805</v>
      </c>
      <c r="AG44" s="58">
        <f t="shared" si="29"/>
        <v>-132352.09969155729</v>
      </c>
      <c r="AH44" s="58">
        <f t="shared" si="29"/>
        <v>-135476.10753120348</v>
      </c>
      <c r="AI44" s="58">
        <f t="shared" si="29"/>
        <v>-138606.33222654034</v>
      </c>
      <c r="AJ44" s="58">
        <f t="shared" si="29"/>
        <v>-141742.91378979498</v>
      </c>
      <c r="AK44" s="58">
        <f t="shared" si="29"/>
        <v>-144885.99217216537</v>
      </c>
      <c r="AL44" s="58">
        <f t="shared" si="29"/>
        <v>-148035.70726996477</v>
      </c>
    </row>
    <row r="45" spans="1:42" x14ac:dyDescent="0.35">
      <c r="A45" s="59" t="s">
        <v>222</v>
      </c>
      <c r="B45" s="60" t="s">
        <v>144</v>
      </c>
      <c r="C45" s="61">
        <f t="shared" ref="C45:AL45" si="30">C41+C42+C43+C44</f>
        <v>4296912</v>
      </c>
      <c r="D45" s="61">
        <f t="shared" si="30"/>
        <v>4598660.9398856144</v>
      </c>
      <c r="E45" s="61">
        <f t="shared" si="30"/>
        <v>4901261.5172887743</v>
      </c>
      <c r="F45" s="61">
        <f t="shared" si="30"/>
        <v>5204728.4361578003</v>
      </c>
      <c r="G45" s="61">
        <f t="shared" si="30"/>
        <v>5509076.4073817842</v>
      </c>
      <c r="H45" s="61">
        <f t="shared" si="30"/>
        <v>5814320.1494135465</v>
      </c>
      <c r="I45" s="61">
        <f t="shared" si="30"/>
        <v>6120474.3888911642</v>
      </c>
      <c r="J45" s="61">
        <f t="shared" si="30"/>
        <v>6427553.8612581268</v>
      </c>
      <c r="K45" s="61">
        <f t="shared" si="30"/>
        <v>6735573.3113821596</v>
      </c>
      <c r="L45" s="61">
        <f t="shared" si="30"/>
        <v>7044547.4941726979</v>
      </c>
      <c r="M45" s="61">
        <f t="shared" si="30"/>
        <v>7354491.1751970919</v>
      </c>
      <c r="N45" s="61">
        <f t="shared" si="30"/>
        <v>7665419.1312955348</v>
      </c>
      <c r="O45" s="61">
        <f t="shared" si="30"/>
        <v>7977346.1511947755</v>
      </c>
      <c r="P45" s="61">
        <f t="shared" si="30"/>
        <v>8290287.0361206112</v>
      </c>
      <c r="Q45" s="61">
        <f t="shared" si="30"/>
        <v>8604256.600409206</v>
      </c>
      <c r="R45" s="61">
        <f t="shared" si="30"/>
        <v>8919269.672117278</v>
      </c>
      <c r="S45" s="61">
        <f t="shared" si="30"/>
        <v>9235341.0936311539</v>
      </c>
      <c r="T45" s="61">
        <f t="shared" si="30"/>
        <v>9552485.7222747337</v>
      </c>
      <c r="U45" s="61">
        <f t="shared" si="30"/>
        <v>9870718.4309164099</v>
      </c>
      <c r="V45" s="61">
        <f t="shared" si="30"/>
        <v>10190054.108574929</v>
      </c>
      <c r="W45" s="61">
        <f t="shared" si="30"/>
        <v>10510507.661024265</v>
      </c>
      <c r="X45" s="61">
        <f t="shared" si="30"/>
        <v>10832094.011397524</v>
      </c>
      <c r="Y45" s="61">
        <f t="shared" si="30"/>
        <v>11154828.100789865</v>
      </c>
      <c r="Z45" s="61">
        <f t="shared" si="30"/>
        <v>11478724.888860535</v>
      </c>
      <c r="AA45" s="61">
        <f t="shared" si="30"/>
        <v>11803799.354433991</v>
      </c>
      <c r="AB45" s="61">
        <f t="shared" si="30"/>
        <v>12130066.496100165</v>
      </c>
      <c r="AC45" s="61">
        <f t="shared" si="30"/>
        <v>12457541.332813866</v>
      </c>
      <c r="AD45" s="61">
        <f t="shared" si="30"/>
        <v>12786238.904493405</v>
      </c>
      <c r="AE45" s="61">
        <f t="shared" si="30"/>
        <v>13116174.272618407</v>
      </c>
      <c r="AF45" s="61">
        <f t="shared" si="30"/>
        <v>13447362.520826867</v>
      </c>
      <c r="AG45" s="61">
        <f t="shared" si="30"/>
        <v>13779818.755511502</v>
      </c>
      <c r="AH45" s="61">
        <f t="shared" si="30"/>
        <v>14113558.106415344</v>
      </c>
      <c r="AI45" s="61">
        <f t="shared" si="30"/>
        <v>14448595.727226714</v>
      </c>
      <c r="AJ45" s="61">
        <f t="shared" si="30"/>
        <v>14784946.796173513</v>
      </c>
      <c r="AK45" s="61">
        <f t="shared" si="30"/>
        <v>15122626.516616873</v>
      </c>
      <c r="AL45" s="61">
        <f t="shared" si="30"/>
        <v>15461650.117644239</v>
      </c>
    </row>
    <row r="47" spans="1:42" x14ac:dyDescent="0.35">
      <c r="A47" s="31" t="s">
        <v>223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</row>
    <row r="48" spans="1:42" x14ac:dyDescent="0.35">
      <c r="A48" s="33" t="s">
        <v>224</v>
      </c>
      <c r="B48" s="34" t="s">
        <v>144</v>
      </c>
      <c r="C48" s="58">
        <f t="shared" ref="C48:AL48" si="31">C31</f>
        <v>163676</v>
      </c>
      <c r="D48" s="58">
        <f t="shared" si="31"/>
        <v>174305.54950340817</v>
      </c>
      <c r="E48" s="58">
        <f t="shared" si="31"/>
        <v>184889.14765092594</v>
      </c>
      <c r="F48" s="58">
        <f t="shared" si="31"/>
        <v>195427.29000765126</v>
      </c>
      <c r="G48" s="58">
        <f t="shared" si="31"/>
        <v>205920.46859305017</v>
      </c>
      <c r="H48" s="58">
        <f t="shared" si="31"/>
        <v>216369.17191069323</v>
      </c>
      <c r="I48" s="58">
        <f t="shared" si="31"/>
        <v>226773.88497775851</v>
      </c>
      <c r="J48" s="58">
        <f t="shared" si="31"/>
        <v>237135.08935430308</v>
      </c>
      <c r="K48" s="58">
        <f t="shared" si="31"/>
        <v>247453.26317230484</v>
      </c>
      <c r="L48" s="58">
        <f t="shared" si="31"/>
        <v>257728.88116447639</v>
      </c>
      <c r="M48" s="58">
        <f t="shared" si="31"/>
        <v>267962.41469285329</v>
      </c>
      <c r="N48" s="58">
        <f t="shared" si="31"/>
        <v>278154.33177715779</v>
      </c>
      <c r="O48" s="58">
        <f t="shared" si="31"/>
        <v>288305.09712294053</v>
      </c>
      <c r="P48" s="58">
        <f t="shared" si="31"/>
        <v>298415.17214950151</v>
      </c>
      <c r="Q48" s="58">
        <f t="shared" si="31"/>
        <v>308485.01501759235</v>
      </c>
      <c r="R48" s="58">
        <f t="shared" si="31"/>
        <v>318515.08065690164</v>
      </c>
      <c r="S48" s="58">
        <f t="shared" si="31"/>
        <v>328505.82079332497</v>
      </c>
      <c r="T48" s="58">
        <f t="shared" si="31"/>
        <v>338457.6839760213</v>
      </c>
      <c r="U48" s="58">
        <f t="shared" si="31"/>
        <v>348371.11560425803</v>
      </c>
      <c r="V48" s="58">
        <f t="shared" si="31"/>
        <v>358246.5579540453</v>
      </c>
      <c r="W48" s="58">
        <f t="shared" si="31"/>
        <v>368084.45020456257</v>
      </c>
      <c r="X48" s="58">
        <f t="shared" si="31"/>
        <v>377885.2284643781</v>
      </c>
      <c r="Y48" s="58">
        <f t="shared" si="31"/>
        <v>387649.32579746348</v>
      </c>
      <c r="Z48" s="58">
        <f t="shared" si="31"/>
        <v>397377.172249005</v>
      </c>
      <c r="AA48" s="58">
        <f t="shared" si="31"/>
        <v>407069.19487101299</v>
      </c>
      <c r="AB48" s="58">
        <f t="shared" si="31"/>
        <v>416725.81774773117</v>
      </c>
      <c r="AC48" s="58">
        <f t="shared" si="31"/>
        <v>426347.46202084771</v>
      </c>
      <c r="AD48" s="58">
        <f t="shared" si="31"/>
        <v>435934.54591450898</v>
      </c>
      <c r="AE48" s="58">
        <f t="shared" si="31"/>
        <v>445487.48476013856</v>
      </c>
      <c r="AF48" s="58">
        <f t="shared" si="31"/>
        <v>455006.69102106214</v>
      </c>
      <c r="AG48" s="58">
        <f t="shared" si="31"/>
        <v>464492.57431694027</v>
      </c>
      <c r="AH48" s="58">
        <f t="shared" si="31"/>
        <v>473945.54144801095</v>
      </c>
      <c r="AI48" s="58">
        <f t="shared" si="31"/>
        <v>483365.99641914247</v>
      </c>
      <c r="AJ48" s="58">
        <f t="shared" si="31"/>
        <v>492754.34046369937</v>
      </c>
      <c r="AK48" s="58">
        <f t="shared" si="31"/>
        <v>502110.97206722217</v>
      </c>
      <c r="AL48" s="58">
        <f t="shared" si="31"/>
        <v>511436.28699092253</v>
      </c>
    </row>
    <row r="49" spans="1:38" x14ac:dyDescent="0.35">
      <c r="A49" s="33" t="s">
        <v>225</v>
      </c>
      <c r="B49" s="34" t="s">
        <v>144</v>
      </c>
      <c r="C49" s="58">
        <f t="shared" ref="C49:AL49" si="32">C15*12+(C14+C16+C17)</f>
        <v>342900</v>
      </c>
      <c r="D49" s="58">
        <f t="shared" si="32"/>
        <v>357902.34584471624</v>
      </c>
      <c r="E49" s="58">
        <f t="shared" si="32"/>
        <v>373023.20436821762</v>
      </c>
      <c r="F49" s="58">
        <f t="shared" si="32"/>
        <v>388263.31054468721</v>
      </c>
      <c r="G49" s="58">
        <f t="shared" si="32"/>
        <v>403623.40348939487</v>
      </c>
      <c r="H49" s="58">
        <f t="shared" si="32"/>
        <v>419104.22648092895</v>
      </c>
      <c r="I49" s="58">
        <f t="shared" si="32"/>
        <v>434706.52698354417</v>
      </c>
      <c r="J49" s="58">
        <f t="shared" si="32"/>
        <v>450431.05666962604</v>
      </c>
      <c r="K49" s="58">
        <f t="shared" si="32"/>
        <v>466278.57144227315</v>
      </c>
      <c r="L49" s="58">
        <f t="shared" si="32"/>
        <v>482249.83145799697</v>
      </c>
      <c r="M49" s="58">
        <f t="shared" si="32"/>
        <v>498345.6011495401</v>
      </c>
      <c r="N49" s="58">
        <f t="shared" si="32"/>
        <v>514566.64924881433</v>
      </c>
      <c r="O49" s="58">
        <f t="shared" si="32"/>
        <v>530913.74880995764</v>
      </c>
      <c r="P49" s="58">
        <f t="shared" si="32"/>
        <v>547387.67723251227</v>
      </c>
      <c r="Q49" s="58">
        <f t="shared" si="32"/>
        <v>563989.21628472372</v>
      </c>
      <c r="R49" s="58">
        <f t="shared" si="32"/>
        <v>580719.15212696104</v>
      </c>
      <c r="S49" s="58">
        <f t="shared" si="32"/>
        <v>597578.2753352595</v>
      </c>
      <c r="T49" s="58">
        <f t="shared" si="32"/>
        <v>614567.38092498633</v>
      </c>
      <c r="U49" s="58">
        <f t="shared" si="32"/>
        <v>631687.26837463025</v>
      </c>
      <c r="V49" s="58">
        <f t="shared" si="32"/>
        <v>648938.74164971407</v>
      </c>
      <c r="W49" s="58">
        <f t="shared" si="32"/>
        <v>666322.60922683368</v>
      </c>
      <c r="X49" s="58">
        <f t="shared" si="32"/>
        <v>683839.68411782081</v>
      </c>
      <c r="Y49" s="58">
        <f t="shared" si="32"/>
        <v>701490.78389403317</v>
      </c>
      <c r="Z49" s="58">
        <f t="shared" si="32"/>
        <v>719276.73071077082</v>
      </c>
      <c r="AA49" s="58">
        <f t="shared" si="32"/>
        <v>737198.35133181978</v>
      </c>
      <c r="AB49" s="58">
        <f t="shared" si="32"/>
        <v>755256.47715412406</v>
      </c>
      <c r="AC49" s="58">
        <f t="shared" si="32"/>
        <v>773451.94423258537</v>
      </c>
      <c r="AD49" s="58">
        <f t="shared" si="32"/>
        <v>791785.59330499463</v>
      </c>
      <c r="AE49" s="58">
        <f t="shared" si="32"/>
        <v>810258.26981708978</v>
      </c>
      <c r="AF49" s="58">
        <f t="shared" si="32"/>
        <v>828870.82394774794</v>
      </c>
      <c r="AG49" s="58">
        <f t="shared" si="32"/>
        <v>847624.11063430633</v>
      </c>
      <c r="AH49" s="58">
        <f t="shared" si="32"/>
        <v>866518.98959801695</v>
      </c>
      <c r="AI49" s="58">
        <f t="shared" si="32"/>
        <v>885556.32536963292</v>
      </c>
      <c r="AJ49" s="58">
        <f t="shared" si="32"/>
        <v>904736.98731512821</v>
      </c>
      <c r="AK49" s="58">
        <f t="shared" si="32"/>
        <v>924061.84966155211</v>
      </c>
      <c r="AL49" s="58">
        <f t="shared" si="32"/>
        <v>943531.79152301815</v>
      </c>
    </row>
    <row r="50" spans="1:38" x14ac:dyDescent="0.35">
      <c r="A50" s="33" t="s">
        <v>226</v>
      </c>
      <c r="B50" s="34" t="s">
        <v>144</v>
      </c>
      <c r="C50" s="62">
        <f t="shared" ref="C50:AL50" si="33">C48+C49</f>
        <v>506576</v>
      </c>
      <c r="D50" s="62">
        <f t="shared" si="33"/>
        <v>532207.89534812444</v>
      </c>
      <c r="E50" s="62">
        <f t="shared" si="33"/>
        <v>557912.35201914352</v>
      </c>
      <c r="F50" s="62">
        <f t="shared" si="33"/>
        <v>583690.60055233841</v>
      </c>
      <c r="G50" s="62">
        <f t="shared" si="33"/>
        <v>609543.87208244507</v>
      </c>
      <c r="H50" s="62">
        <f t="shared" si="33"/>
        <v>635473.39839162212</v>
      </c>
      <c r="I50" s="62">
        <f t="shared" si="33"/>
        <v>661480.41196130263</v>
      </c>
      <c r="J50" s="62">
        <f t="shared" si="33"/>
        <v>687566.14602392912</v>
      </c>
      <c r="K50" s="62">
        <f t="shared" si="33"/>
        <v>713731.83461457794</v>
      </c>
      <c r="L50" s="62">
        <f t="shared" si="33"/>
        <v>739978.71262247337</v>
      </c>
      <c r="M50" s="62">
        <f t="shared" si="33"/>
        <v>766308.01584239339</v>
      </c>
      <c r="N50" s="62">
        <f t="shared" si="33"/>
        <v>792720.98102597217</v>
      </c>
      <c r="O50" s="62">
        <f t="shared" si="33"/>
        <v>819218.84593289811</v>
      </c>
      <c r="P50" s="62">
        <f t="shared" si="33"/>
        <v>845802.84938201378</v>
      </c>
      <c r="Q50" s="62">
        <f t="shared" si="33"/>
        <v>872474.23130231607</v>
      </c>
      <c r="R50" s="62">
        <f t="shared" si="33"/>
        <v>899234.23278386262</v>
      </c>
      <c r="S50" s="62">
        <f t="shared" si="33"/>
        <v>926084.09612858447</v>
      </c>
      <c r="T50" s="62">
        <f t="shared" si="33"/>
        <v>953025.06490100757</v>
      </c>
      <c r="U50" s="62">
        <f t="shared" si="33"/>
        <v>980058.38397888828</v>
      </c>
      <c r="V50" s="62">
        <f t="shared" si="33"/>
        <v>1007185.2996037593</v>
      </c>
      <c r="W50" s="62">
        <f t="shared" si="33"/>
        <v>1034407.0594313962</v>
      </c>
      <c r="X50" s="62">
        <f t="shared" si="33"/>
        <v>1061724.9125821989</v>
      </c>
      <c r="Y50" s="62">
        <f t="shared" si="33"/>
        <v>1089140.1096914967</v>
      </c>
      <c r="Z50" s="62">
        <f t="shared" si="33"/>
        <v>1116653.9029597759</v>
      </c>
      <c r="AA50" s="62">
        <f t="shared" si="33"/>
        <v>1144267.5462028328</v>
      </c>
      <c r="AB50" s="62">
        <f t="shared" si="33"/>
        <v>1171982.2949018553</v>
      </c>
      <c r="AC50" s="62">
        <f t="shared" si="33"/>
        <v>1199799.4062534331</v>
      </c>
      <c r="AD50" s="62">
        <f t="shared" si="33"/>
        <v>1227720.1392195036</v>
      </c>
      <c r="AE50" s="62">
        <f t="shared" si="33"/>
        <v>1255745.7545772283</v>
      </c>
      <c r="AF50" s="62">
        <f t="shared" si="33"/>
        <v>1283877.5149688101</v>
      </c>
      <c r="AG50" s="62">
        <f t="shared" si="33"/>
        <v>1312116.6849512467</v>
      </c>
      <c r="AH50" s="62">
        <f t="shared" si="33"/>
        <v>1340464.5310460278</v>
      </c>
      <c r="AI50" s="62">
        <f t="shared" si="33"/>
        <v>1368922.3217887753</v>
      </c>
      <c r="AJ50" s="62">
        <f t="shared" si="33"/>
        <v>1397491.3277788276</v>
      </c>
      <c r="AK50" s="62">
        <f t="shared" si="33"/>
        <v>1426172.8217287743</v>
      </c>
      <c r="AL50" s="62">
        <f t="shared" si="33"/>
        <v>1454968.0785139408</v>
      </c>
    </row>
    <row r="51" spans="1:38" x14ac:dyDescent="0.35">
      <c r="A51" s="33" t="s">
        <v>214</v>
      </c>
      <c r="B51" s="34" t="s">
        <v>144</v>
      </c>
      <c r="C51" s="58">
        <f t="shared" ref="C51:AL51" si="34">C36</f>
        <v>358076</v>
      </c>
      <c r="D51" s="58">
        <f t="shared" si="34"/>
        <v>383221.74499046785</v>
      </c>
      <c r="E51" s="58">
        <f t="shared" si="34"/>
        <v>408438.45977406448</v>
      </c>
      <c r="F51" s="58">
        <f t="shared" si="34"/>
        <v>433727.36967981653</v>
      </c>
      <c r="G51" s="58">
        <f t="shared" si="34"/>
        <v>459089.7006151487</v>
      </c>
      <c r="H51" s="58">
        <f t="shared" si="34"/>
        <v>484526.6791177956</v>
      </c>
      <c r="I51" s="58">
        <f t="shared" si="34"/>
        <v>510039.53240759694</v>
      </c>
      <c r="J51" s="58">
        <f t="shared" si="34"/>
        <v>535629.48843817716</v>
      </c>
      <c r="K51" s="58">
        <f t="shared" si="34"/>
        <v>561297.7759485133</v>
      </c>
      <c r="L51" s="58">
        <f t="shared" si="34"/>
        <v>587045.62451439153</v>
      </c>
      <c r="M51" s="58">
        <f t="shared" si="34"/>
        <v>612874.26459975762</v>
      </c>
      <c r="N51" s="58">
        <f t="shared" si="34"/>
        <v>638784.92760796123</v>
      </c>
      <c r="O51" s="58">
        <f t="shared" si="34"/>
        <v>664778.84593289811</v>
      </c>
      <c r="P51" s="58">
        <f t="shared" si="34"/>
        <v>690857.25301005086</v>
      </c>
      <c r="Q51" s="58">
        <f t="shared" si="34"/>
        <v>717021.38336743379</v>
      </c>
      <c r="R51" s="58">
        <f t="shared" si="34"/>
        <v>743272.47267643991</v>
      </c>
      <c r="S51" s="58">
        <f t="shared" si="34"/>
        <v>769611.75780259608</v>
      </c>
      <c r="T51" s="58">
        <f t="shared" si="34"/>
        <v>796040.47685622796</v>
      </c>
      <c r="U51" s="58">
        <f t="shared" si="34"/>
        <v>822559.86924303416</v>
      </c>
      <c r="V51" s="58">
        <f t="shared" si="34"/>
        <v>849171.17571457732</v>
      </c>
      <c r="W51" s="58">
        <f t="shared" si="34"/>
        <v>875875.6384186889</v>
      </c>
      <c r="X51" s="58">
        <f t="shared" si="34"/>
        <v>902674.50094979373</v>
      </c>
      <c r="Y51" s="58">
        <f t="shared" si="34"/>
        <v>929569.00839915546</v>
      </c>
      <c r="Z51" s="58">
        <f t="shared" si="34"/>
        <v>956560.40740504442</v>
      </c>
      <c r="AA51" s="58">
        <f t="shared" si="34"/>
        <v>983649.94620283274</v>
      </c>
      <c r="AB51" s="58">
        <f t="shared" si="34"/>
        <v>1010838.8746750138</v>
      </c>
      <c r="AC51" s="58">
        <f t="shared" si="34"/>
        <v>1038128.4444011556</v>
      </c>
      <c r="AD51" s="58">
        <f t="shared" si="34"/>
        <v>1065519.908707784</v>
      </c>
      <c r="AE51" s="58">
        <f t="shared" si="34"/>
        <v>1093014.5227182005</v>
      </c>
      <c r="AF51" s="58">
        <f t="shared" si="34"/>
        <v>1120613.543402239</v>
      </c>
      <c r="AG51" s="58">
        <f t="shared" si="34"/>
        <v>1148318.2296259585</v>
      </c>
      <c r="AH51" s="58">
        <f t="shared" si="34"/>
        <v>1176129.8422012785</v>
      </c>
      <c r="AI51" s="58">
        <f t="shared" si="34"/>
        <v>1204049.6439355598</v>
      </c>
      <c r="AJ51" s="58">
        <f t="shared" si="34"/>
        <v>1232078.8996811262</v>
      </c>
      <c r="AK51" s="58">
        <f t="shared" si="34"/>
        <v>1260218.8763847393</v>
      </c>
      <c r="AL51" s="58">
        <f t="shared" si="34"/>
        <v>1288470.84313702</v>
      </c>
    </row>
    <row r="52" spans="1:38" x14ac:dyDescent="0.35">
      <c r="A52" s="59" t="s">
        <v>227</v>
      </c>
      <c r="B52" s="60" t="s">
        <v>144</v>
      </c>
      <c r="C52" s="61">
        <f t="shared" ref="C52:AL52" si="35">C50-C51</f>
        <v>148500</v>
      </c>
      <c r="D52" s="61">
        <f t="shared" si="35"/>
        <v>148986.15035765659</v>
      </c>
      <c r="E52" s="61">
        <f t="shared" si="35"/>
        <v>149473.89224507904</v>
      </c>
      <c r="F52" s="61">
        <f t="shared" si="35"/>
        <v>149963.23087252188</v>
      </c>
      <c r="G52" s="61">
        <f t="shared" si="35"/>
        <v>150454.17146729637</v>
      </c>
      <c r="H52" s="61">
        <f t="shared" si="35"/>
        <v>150946.71927382651</v>
      </c>
      <c r="I52" s="61">
        <f t="shared" si="35"/>
        <v>151440.87955370569</v>
      </c>
      <c r="J52" s="61">
        <f t="shared" si="35"/>
        <v>151936.65758575196</v>
      </c>
      <c r="K52" s="61">
        <f t="shared" si="35"/>
        <v>152434.05866606464</v>
      </c>
      <c r="L52" s="61">
        <f t="shared" si="35"/>
        <v>152933.08810808184</v>
      </c>
      <c r="M52" s="61">
        <f t="shared" si="35"/>
        <v>153433.75124263577</v>
      </c>
      <c r="N52" s="61">
        <f t="shared" si="35"/>
        <v>153936.05341801094</v>
      </c>
      <c r="O52" s="61">
        <f t="shared" si="35"/>
        <v>154440</v>
      </c>
      <c r="P52" s="61">
        <f t="shared" si="35"/>
        <v>154945.59637196292</v>
      </c>
      <c r="Q52" s="61">
        <f t="shared" si="35"/>
        <v>155452.84793488227</v>
      </c>
      <c r="R52" s="61">
        <f t="shared" si="35"/>
        <v>155961.76010742271</v>
      </c>
      <c r="S52" s="61">
        <f t="shared" si="35"/>
        <v>156472.33832598838</v>
      </c>
      <c r="T52" s="61">
        <f t="shared" si="35"/>
        <v>156984.58804477961</v>
      </c>
      <c r="U52" s="61">
        <f t="shared" si="35"/>
        <v>157498.51473585411</v>
      </c>
      <c r="V52" s="61">
        <f t="shared" si="35"/>
        <v>158014.123889182</v>
      </c>
      <c r="W52" s="61">
        <f t="shared" si="35"/>
        <v>158531.42101270729</v>
      </c>
      <c r="X52" s="61">
        <f t="shared" si="35"/>
        <v>159050.41163240513</v>
      </c>
      <c r="Y52" s="61">
        <f t="shared" si="35"/>
        <v>159571.10129234125</v>
      </c>
      <c r="Z52" s="61">
        <f t="shared" si="35"/>
        <v>160093.49555473146</v>
      </c>
      <c r="AA52" s="61">
        <f t="shared" si="35"/>
        <v>160617.60000000009</v>
      </c>
      <c r="AB52" s="61">
        <f t="shared" si="35"/>
        <v>161143.42022684147</v>
      </c>
      <c r="AC52" s="61">
        <f t="shared" si="35"/>
        <v>161670.96185227751</v>
      </c>
      <c r="AD52" s="61">
        <f t="shared" si="35"/>
        <v>162200.23051171959</v>
      </c>
      <c r="AE52" s="61">
        <f t="shared" si="35"/>
        <v>162731.23185902787</v>
      </c>
      <c r="AF52" s="61">
        <f t="shared" si="35"/>
        <v>163263.97156657116</v>
      </c>
      <c r="AG52" s="61">
        <f t="shared" si="35"/>
        <v>163798.45532528823</v>
      </c>
      <c r="AH52" s="61">
        <f t="shared" si="35"/>
        <v>164334.68884474924</v>
      </c>
      <c r="AI52" s="61">
        <f t="shared" si="35"/>
        <v>164872.67785321549</v>
      </c>
      <c r="AJ52" s="61">
        <f t="shared" si="35"/>
        <v>165412.4280977014</v>
      </c>
      <c r="AK52" s="61">
        <f t="shared" si="35"/>
        <v>165953.94534403505</v>
      </c>
      <c r="AL52" s="61">
        <f t="shared" si="35"/>
        <v>166497.23537692078</v>
      </c>
    </row>
    <row r="54" spans="1:38" ht="24" customHeight="1" x14ac:dyDescent="0.35">
      <c r="A54" s="64" t="s">
        <v>228</v>
      </c>
    </row>
  </sheetData>
  <hyperlinks>
    <hyperlink ref="E1" r:id="rId1" location="Cover!A1" xr:uid="{00000000-0004-0000-0400-000000000000}"/>
  </hyperlinks>
  <pageMargins left="0.75" right="0.75" top="1" bottom="1" header="0.5" footer="0.5"/>
  <pageSetup fitToHeight="0" orientation="landscape" horizontalDpi="300" verticalDpi="300"/>
  <headerFooter>
    <oddHeader>&amp;LNovaFlow Analytics&amp;RRevenue Model</oddHeader>
    <oddFooter>&amp;LFP&amp;&amp;A Planning Model v1.0&amp;CConfidential&amp;RPage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F8FAF"/>
    <pageSetUpPr fitToPage="1"/>
  </sheetPr>
  <dimension ref="A1:AP36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1" width="36" customWidth="1"/>
    <col min="2" max="2" width="9" customWidth="1"/>
    <col min="3" max="38" width="11.453125" customWidth="1"/>
    <col min="39" max="39" width="2" customWidth="1"/>
    <col min="40" max="42" width="13.453125" customWidth="1"/>
  </cols>
  <sheetData>
    <row r="1" spans="1:42" ht="13.5" customHeight="1" x14ac:dyDescent="0.35">
      <c r="A1" s="13" t="s">
        <v>0</v>
      </c>
      <c r="B1" s="14"/>
      <c r="C1" s="14"/>
      <c r="D1" s="14"/>
      <c r="E1" s="15" t="s">
        <v>34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 spans="1:42" ht="21.75" customHeight="1" x14ac:dyDescent="0.45">
      <c r="A2" s="16" t="s">
        <v>229</v>
      </c>
      <c r="B2" s="14"/>
      <c r="C2" s="14"/>
      <c r="D2" s="14"/>
      <c r="E2" s="17" t="s">
        <v>230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ht="3.75" customHeigh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</row>
    <row r="5" spans="1:42" x14ac:dyDescent="0.35">
      <c r="A5" s="54" t="s">
        <v>198</v>
      </c>
      <c r="C5" s="55">
        <f>ModelStart</f>
        <v>46023</v>
      </c>
      <c r="D5" s="55">
        <f t="shared" ref="D5:AL5" si="0">EDATE(C5,1)</f>
        <v>46054</v>
      </c>
      <c r="E5" s="55">
        <f t="shared" si="0"/>
        <v>46082</v>
      </c>
      <c r="F5" s="55">
        <f t="shared" si="0"/>
        <v>46113</v>
      </c>
      <c r="G5" s="55">
        <f t="shared" si="0"/>
        <v>46143</v>
      </c>
      <c r="H5" s="55">
        <f t="shared" si="0"/>
        <v>46174</v>
      </c>
      <c r="I5" s="55">
        <f t="shared" si="0"/>
        <v>46204</v>
      </c>
      <c r="J5" s="55">
        <f t="shared" si="0"/>
        <v>46235</v>
      </c>
      <c r="K5" s="55">
        <f t="shared" si="0"/>
        <v>46266</v>
      </c>
      <c r="L5" s="55">
        <f t="shared" si="0"/>
        <v>46296</v>
      </c>
      <c r="M5" s="55">
        <f t="shared" si="0"/>
        <v>46327</v>
      </c>
      <c r="N5" s="55">
        <f t="shared" si="0"/>
        <v>46357</v>
      </c>
      <c r="O5" s="55">
        <f t="shared" si="0"/>
        <v>46388</v>
      </c>
      <c r="P5" s="55">
        <f t="shared" si="0"/>
        <v>46419</v>
      </c>
      <c r="Q5" s="55">
        <f t="shared" si="0"/>
        <v>46447</v>
      </c>
      <c r="R5" s="55">
        <f t="shared" si="0"/>
        <v>46478</v>
      </c>
      <c r="S5" s="55">
        <f t="shared" si="0"/>
        <v>46508</v>
      </c>
      <c r="T5" s="55">
        <f t="shared" si="0"/>
        <v>46539</v>
      </c>
      <c r="U5" s="55">
        <f t="shared" si="0"/>
        <v>46569</v>
      </c>
      <c r="V5" s="55">
        <f t="shared" si="0"/>
        <v>46600</v>
      </c>
      <c r="W5" s="55">
        <f t="shared" si="0"/>
        <v>46631</v>
      </c>
      <c r="X5" s="55">
        <f t="shared" si="0"/>
        <v>46661</v>
      </c>
      <c r="Y5" s="55">
        <f t="shared" si="0"/>
        <v>46692</v>
      </c>
      <c r="Z5" s="55">
        <f t="shared" si="0"/>
        <v>46722</v>
      </c>
      <c r="AA5" s="55">
        <f t="shared" si="0"/>
        <v>46753</v>
      </c>
      <c r="AB5" s="55">
        <f t="shared" si="0"/>
        <v>46784</v>
      </c>
      <c r="AC5" s="55">
        <f t="shared" si="0"/>
        <v>46813</v>
      </c>
      <c r="AD5" s="55">
        <f t="shared" si="0"/>
        <v>46844</v>
      </c>
      <c r="AE5" s="55">
        <f t="shared" si="0"/>
        <v>46874</v>
      </c>
      <c r="AF5" s="55">
        <f t="shared" si="0"/>
        <v>46905</v>
      </c>
      <c r="AG5" s="55">
        <f t="shared" si="0"/>
        <v>46935</v>
      </c>
      <c r="AH5" s="55">
        <f t="shared" si="0"/>
        <v>46966</v>
      </c>
      <c r="AI5" s="55">
        <f t="shared" si="0"/>
        <v>46997</v>
      </c>
      <c r="AJ5" s="55">
        <f t="shared" si="0"/>
        <v>47027</v>
      </c>
      <c r="AK5" s="55">
        <f t="shared" si="0"/>
        <v>47058</v>
      </c>
      <c r="AL5" s="55">
        <f t="shared" si="0"/>
        <v>47088</v>
      </c>
    </row>
    <row r="7" spans="1:42" x14ac:dyDescent="0.35">
      <c r="A7" s="31" t="s">
        <v>231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</row>
    <row r="8" spans="1:42" x14ac:dyDescent="0.35">
      <c r="A8" s="33" t="s">
        <v>153</v>
      </c>
      <c r="B8" s="34" t="s">
        <v>101</v>
      </c>
      <c r="C8" s="56">
        <f t="shared" ref="C8:L13" si="1">_xlfn.XLOOKUP(YEAR(C$5),A_HireYears,_xlfn.XLOOKUP($A8,A_DeptNames,A_DeptHires))/12*L_HirePace</f>
        <v>0.33333333333333331</v>
      </c>
      <c r="D8" s="56">
        <f t="shared" si="1"/>
        <v>0.33333333333333331</v>
      </c>
      <c r="E8" s="56">
        <f t="shared" si="1"/>
        <v>0.33333333333333331</v>
      </c>
      <c r="F8" s="56">
        <f t="shared" si="1"/>
        <v>0.33333333333333331</v>
      </c>
      <c r="G8" s="56">
        <f t="shared" si="1"/>
        <v>0.33333333333333331</v>
      </c>
      <c r="H8" s="56">
        <f t="shared" si="1"/>
        <v>0.33333333333333331</v>
      </c>
      <c r="I8" s="56">
        <f t="shared" si="1"/>
        <v>0.33333333333333331</v>
      </c>
      <c r="J8" s="56">
        <f t="shared" si="1"/>
        <v>0.33333333333333331</v>
      </c>
      <c r="K8" s="56">
        <f t="shared" si="1"/>
        <v>0.33333333333333331</v>
      </c>
      <c r="L8" s="56">
        <f t="shared" si="1"/>
        <v>0.33333333333333331</v>
      </c>
      <c r="M8" s="56">
        <f t="shared" ref="M8:V13" si="2">_xlfn.XLOOKUP(YEAR(M$5),A_HireYears,_xlfn.XLOOKUP($A8,A_DeptNames,A_DeptHires))/12*L_HirePace</f>
        <v>0.33333333333333331</v>
      </c>
      <c r="N8" s="56">
        <f t="shared" si="2"/>
        <v>0.33333333333333331</v>
      </c>
      <c r="O8" s="56">
        <f t="shared" si="2"/>
        <v>0.25</v>
      </c>
      <c r="P8" s="56">
        <f t="shared" si="2"/>
        <v>0.25</v>
      </c>
      <c r="Q8" s="56">
        <f t="shared" si="2"/>
        <v>0.25</v>
      </c>
      <c r="R8" s="56">
        <f t="shared" si="2"/>
        <v>0.25</v>
      </c>
      <c r="S8" s="56">
        <f t="shared" si="2"/>
        <v>0.25</v>
      </c>
      <c r="T8" s="56">
        <f t="shared" si="2"/>
        <v>0.25</v>
      </c>
      <c r="U8" s="56">
        <f t="shared" si="2"/>
        <v>0.25</v>
      </c>
      <c r="V8" s="56">
        <f t="shared" si="2"/>
        <v>0.25</v>
      </c>
      <c r="W8" s="56">
        <f t="shared" ref="W8:AF13" si="3">_xlfn.XLOOKUP(YEAR(W$5),A_HireYears,_xlfn.XLOOKUP($A8,A_DeptNames,A_DeptHires))/12*L_HirePace</f>
        <v>0.25</v>
      </c>
      <c r="X8" s="56">
        <f t="shared" si="3"/>
        <v>0.25</v>
      </c>
      <c r="Y8" s="56">
        <f t="shared" si="3"/>
        <v>0.25</v>
      </c>
      <c r="Z8" s="56">
        <f t="shared" si="3"/>
        <v>0.25</v>
      </c>
      <c r="AA8" s="56">
        <f t="shared" si="3"/>
        <v>0.25</v>
      </c>
      <c r="AB8" s="56">
        <f t="shared" si="3"/>
        <v>0.25</v>
      </c>
      <c r="AC8" s="56">
        <f t="shared" si="3"/>
        <v>0.25</v>
      </c>
      <c r="AD8" s="56">
        <f t="shared" si="3"/>
        <v>0.25</v>
      </c>
      <c r="AE8" s="56">
        <f t="shared" si="3"/>
        <v>0.25</v>
      </c>
      <c r="AF8" s="56">
        <f t="shared" si="3"/>
        <v>0.25</v>
      </c>
      <c r="AG8" s="56">
        <f t="shared" ref="AG8:AL13" si="4">_xlfn.XLOOKUP(YEAR(AG$5),A_HireYears,_xlfn.XLOOKUP($A8,A_DeptNames,A_DeptHires))/12*L_HirePace</f>
        <v>0.25</v>
      </c>
      <c r="AH8" s="56">
        <f t="shared" si="4"/>
        <v>0.25</v>
      </c>
      <c r="AI8" s="56">
        <f t="shared" si="4"/>
        <v>0.25</v>
      </c>
      <c r="AJ8" s="56">
        <f t="shared" si="4"/>
        <v>0.25</v>
      </c>
      <c r="AK8" s="56">
        <f t="shared" si="4"/>
        <v>0.25</v>
      </c>
      <c r="AL8" s="56">
        <f t="shared" si="4"/>
        <v>0.25</v>
      </c>
    </row>
    <row r="9" spans="1:42" x14ac:dyDescent="0.35">
      <c r="A9" s="33" t="s">
        <v>154</v>
      </c>
      <c r="B9" s="34" t="s">
        <v>101</v>
      </c>
      <c r="C9" s="56">
        <f t="shared" si="1"/>
        <v>8.3333333333333329E-2</v>
      </c>
      <c r="D9" s="56">
        <f t="shared" si="1"/>
        <v>8.3333333333333329E-2</v>
      </c>
      <c r="E9" s="56">
        <f t="shared" si="1"/>
        <v>8.3333333333333329E-2</v>
      </c>
      <c r="F9" s="56">
        <f t="shared" si="1"/>
        <v>8.3333333333333329E-2</v>
      </c>
      <c r="G9" s="56">
        <f t="shared" si="1"/>
        <v>8.3333333333333329E-2</v>
      </c>
      <c r="H9" s="56">
        <f t="shared" si="1"/>
        <v>8.3333333333333329E-2</v>
      </c>
      <c r="I9" s="56">
        <f t="shared" si="1"/>
        <v>8.3333333333333329E-2</v>
      </c>
      <c r="J9" s="56">
        <f t="shared" si="1"/>
        <v>8.3333333333333329E-2</v>
      </c>
      <c r="K9" s="56">
        <f t="shared" si="1"/>
        <v>8.3333333333333329E-2</v>
      </c>
      <c r="L9" s="56">
        <f t="shared" si="1"/>
        <v>8.3333333333333329E-2</v>
      </c>
      <c r="M9" s="56">
        <f t="shared" si="2"/>
        <v>8.3333333333333329E-2</v>
      </c>
      <c r="N9" s="56">
        <f t="shared" si="2"/>
        <v>8.3333333333333329E-2</v>
      </c>
      <c r="O9" s="56">
        <f t="shared" si="2"/>
        <v>8.3333333333333329E-2</v>
      </c>
      <c r="P9" s="56">
        <f t="shared" si="2"/>
        <v>8.3333333333333329E-2</v>
      </c>
      <c r="Q9" s="56">
        <f t="shared" si="2"/>
        <v>8.3333333333333329E-2</v>
      </c>
      <c r="R9" s="56">
        <f t="shared" si="2"/>
        <v>8.3333333333333329E-2</v>
      </c>
      <c r="S9" s="56">
        <f t="shared" si="2"/>
        <v>8.3333333333333329E-2</v>
      </c>
      <c r="T9" s="56">
        <f t="shared" si="2"/>
        <v>8.3333333333333329E-2</v>
      </c>
      <c r="U9" s="56">
        <f t="shared" si="2"/>
        <v>8.3333333333333329E-2</v>
      </c>
      <c r="V9" s="56">
        <f t="shared" si="2"/>
        <v>8.3333333333333329E-2</v>
      </c>
      <c r="W9" s="56">
        <f t="shared" si="3"/>
        <v>8.3333333333333329E-2</v>
      </c>
      <c r="X9" s="56">
        <f t="shared" si="3"/>
        <v>8.3333333333333329E-2</v>
      </c>
      <c r="Y9" s="56">
        <f t="shared" si="3"/>
        <v>8.3333333333333329E-2</v>
      </c>
      <c r="Z9" s="56">
        <f t="shared" si="3"/>
        <v>8.3333333333333329E-2</v>
      </c>
      <c r="AA9" s="56">
        <f t="shared" si="3"/>
        <v>8.3333333333333329E-2</v>
      </c>
      <c r="AB9" s="56">
        <f t="shared" si="3"/>
        <v>8.3333333333333329E-2</v>
      </c>
      <c r="AC9" s="56">
        <f t="shared" si="3"/>
        <v>8.3333333333333329E-2</v>
      </c>
      <c r="AD9" s="56">
        <f t="shared" si="3"/>
        <v>8.3333333333333329E-2</v>
      </c>
      <c r="AE9" s="56">
        <f t="shared" si="3"/>
        <v>8.3333333333333329E-2</v>
      </c>
      <c r="AF9" s="56">
        <f t="shared" si="3"/>
        <v>8.3333333333333329E-2</v>
      </c>
      <c r="AG9" s="56">
        <f t="shared" si="4"/>
        <v>8.3333333333333329E-2</v>
      </c>
      <c r="AH9" s="56">
        <f t="shared" si="4"/>
        <v>8.3333333333333329E-2</v>
      </c>
      <c r="AI9" s="56">
        <f t="shared" si="4"/>
        <v>8.3333333333333329E-2</v>
      </c>
      <c r="AJ9" s="56">
        <f t="shared" si="4"/>
        <v>8.3333333333333329E-2</v>
      </c>
      <c r="AK9" s="56">
        <f t="shared" si="4"/>
        <v>8.3333333333333329E-2</v>
      </c>
      <c r="AL9" s="56">
        <f t="shared" si="4"/>
        <v>8.3333333333333329E-2</v>
      </c>
    </row>
    <row r="10" spans="1:42" x14ac:dyDescent="0.35">
      <c r="A10" s="33" t="s">
        <v>155</v>
      </c>
      <c r="B10" s="34" t="s">
        <v>101</v>
      </c>
      <c r="C10" s="56">
        <f t="shared" si="1"/>
        <v>0.25</v>
      </c>
      <c r="D10" s="56">
        <f t="shared" si="1"/>
        <v>0.25</v>
      </c>
      <c r="E10" s="56">
        <f t="shared" si="1"/>
        <v>0.25</v>
      </c>
      <c r="F10" s="56">
        <f t="shared" si="1"/>
        <v>0.25</v>
      </c>
      <c r="G10" s="56">
        <f t="shared" si="1"/>
        <v>0.25</v>
      </c>
      <c r="H10" s="56">
        <f t="shared" si="1"/>
        <v>0.25</v>
      </c>
      <c r="I10" s="56">
        <f t="shared" si="1"/>
        <v>0.25</v>
      </c>
      <c r="J10" s="56">
        <f t="shared" si="1"/>
        <v>0.25</v>
      </c>
      <c r="K10" s="56">
        <f t="shared" si="1"/>
        <v>0.25</v>
      </c>
      <c r="L10" s="56">
        <f t="shared" si="1"/>
        <v>0.25</v>
      </c>
      <c r="M10" s="56">
        <f t="shared" si="2"/>
        <v>0.25</v>
      </c>
      <c r="N10" s="56">
        <f t="shared" si="2"/>
        <v>0.25</v>
      </c>
      <c r="O10" s="56">
        <f t="shared" si="2"/>
        <v>0.25</v>
      </c>
      <c r="P10" s="56">
        <f t="shared" si="2"/>
        <v>0.25</v>
      </c>
      <c r="Q10" s="56">
        <f t="shared" si="2"/>
        <v>0.25</v>
      </c>
      <c r="R10" s="56">
        <f t="shared" si="2"/>
        <v>0.25</v>
      </c>
      <c r="S10" s="56">
        <f t="shared" si="2"/>
        <v>0.25</v>
      </c>
      <c r="T10" s="56">
        <f t="shared" si="2"/>
        <v>0.25</v>
      </c>
      <c r="U10" s="56">
        <f t="shared" si="2"/>
        <v>0.25</v>
      </c>
      <c r="V10" s="56">
        <f t="shared" si="2"/>
        <v>0.25</v>
      </c>
      <c r="W10" s="56">
        <f t="shared" si="3"/>
        <v>0.25</v>
      </c>
      <c r="X10" s="56">
        <f t="shared" si="3"/>
        <v>0.25</v>
      </c>
      <c r="Y10" s="56">
        <f t="shared" si="3"/>
        <v>0.25</v>
      </c>
      <c r="Z10" s="56">
        <f t="shared" si="3"/>
        <v>0.25</v>
      </c>
      <c r="AA10" s="56">
        <f t="shared" si="3"/>
        <v>0.25</v>
      </c>
      <c r="AB10" s="56">
        <f t="shared" si="3"/>
        <v>0.25</v>
      </c>
      <c r="AC10" s="56">
        <f t="shared" si="3"/>
        <v>0.25</v>
      </c>
      <c r="AD10" s="56">
        <f t="shared" si="3"/>
        <v>0.25</v>
      </c>
      <c r="AE10" s="56">
        <f t="shared" si="3"/>
        <v>0.25</v>
      </c>
      <c r="AF10" s="56">
        <f t="shared" si="3"/>
        <v>0.25</v>
      </c>
      <c r="AG10" s="56">
        <f t="shared" si="4"/>
        <v>0.25</v>
      </c>
      <c r="AH10" s="56">
        <f t="shared" si="4"/>
        <v>0.25</v>
      </c>
      <c r="AI10" s="56">
        <f t="shared" si="4"/>
        <v>0.25</v>
      </c>
      <c r="AJ10" s="56">
        <f t="shared" si="4"/>
        <v>0.25</v>
      </c>
      <c r="AK10" s="56">
        <f t="shared" si="4"/>
        <v>0.25</v>
      </c>
      <c r="AL10" s="56">
        <f t="shared" si="4"/>
        <v>0.25</v>
      </c>
    </row>
    <row r="11" spans="1:42" x14ac:dyDescent="0.35">
      <c r="A11" s="33" t="s">
        <v>156</v>
      </c>
      <c r="B11" s="34" t="s">
        <v>101</v>
      </c>
      <c r="C11" s="56">
        <f t="shared" si="1"/>
        <v>8.3333333333333329E-2</v>
      </c>
      <c r="D11" s="56">
        <f t="shared" si="1"/>
        <v>8.3333333333333329E-2</v>
      </c>
      <c r="E11" s="56">
        <f t="shared" si="1"/>
        <v>8.3333333333333329E-2</v>
      </c>
      <c r="F11" s="56">
        <f t="shared" si="1"/>
        <v>8.3333333333333329E-2</v>
      </c>
      <c r="G11" s="56">
        <f t="shared" si="1"/>
        <v>8.3333333333333329E-2</v>
      </c>
      <c r="H11" s="56">
        <f t="shared" si="1"/>
        <v>8.3333333333333329E-2</v>
      </c>
      <c r="I11" s="56">
        <f t="shared" si="1"/>
        <v>8.3333333333333329E-2</v>
      </c>
      <c r="J11" s="56">
        <f t="shared" si="1"/>
        <v>8.3333333333333329E-2</v>
      </c>
      <c r="K11" s="56">
        <f t="shared" si="1"/>
        <v>8.3333333333333329E-2</v>
      </c>
      <c r="L11" s="56">
        <f t="shared" si="1"/>
        <v>8.3333333333333329E-2</v>
      </c>
      <c r="M11" s="56">
        <f t="shared" si="2"/>
        <v>8.3333333333333329E-2</v>
      </c>
      <c r="N11" s="56">
        <f t="shared" si="2"/>
        <v>8.3333333333333329E-2</v>
      </c>
      <c r="O11" s="56">
        <f t="shared" si="2"/>
        <v>8.3333333333333329E-2</v>
      </c>
      <c r="P11" s="56">
        <f t="shared" si="2"/>
        <v>8.3333333333333329E-2</v>
      </c>
      <c r="Q11" s="56">
        <f t="shared" si="2"/>
        <v>8.3333333333333329E-2</v>
      </c>
      <c r="R11" s="56">
        <f t="shared" si="2"/>
        <v>8.3333333333333329E-2</v>
      </c>
      <c r="S11" s="56">
        <f t="shared" si="2"/>
        <v>8.3333333333333329E-2</v>
      </c>
      <c r="T11" s="56">
        <f t="shared" si="2"/>
        <v>8.3333333333333329E-2</v>
      </c>
      <c r="U11" s="56">
        <f t="shared" si="2"/>
        <v>8.3333333333333329E-2</v>
      </c>
      <c r="V11" s="56">
        <f t="shared" si="2"/>
        <v>8.3333333333333329E-2</v>
      </c>
      <c r="W11" s="56">
        <f t="shared" si="3"/>
        <v>8.3333333333333329E-2</v>
      </c>
      <c r="X11" s="56">
        <f t="shared" si="3"/>
        <v>8.3333333333333329E-2</v>
      </c>
      <c r="Y11" s="56">
        <f t="shared" si="3"/>
        <v>8.3333333333333329E-2</v>
      </c>
      <c r="Z11" s="56">
        <f t="shared" si="3"/>
        <v>8.3333333333333329E-2</v>
      </c>
      <c r="AA11" s="56">
        <f t="shared" si="3"/>
        <v>8.3333333333333329E-2</v>
      </c>
      <c r="AB11" s="56">
        <f t="shared" si="3"/>
        <v>8.3333333333333329E-2</v>
      </c>
      <c r="AC11" s="56">
        <f t="shared" si="3"/>
        <v>8.3333333333333329E-2</v>
      </c>
      <c r="AD11" s="56">
        <f t="shared" si="3"/>
        <v>8.3333333333333329E-2</v>
      </c>
      <c r="AE11" s="56">
        <f t="shared" si="3"/>
        <v>8.3333333333333329E-2</v>
      </c>
      <c r="AF11" s="56">
        <f t="shared" si="3"/>
        <v>8.3333333333333329E-2</v>
      </c>
      <c r="AG11" s="56">
        <f t="shared" si="4"/>
        <v>8.3333333333333329E-2</v>
      </c>
      <c r="AH11" s="56">
        <f t="shared" si="4"/>
        <v>8.3333333333333329E-2</v>
      </c>
      <c r="AI11" s="56">
        <f t="shared" si="4"/>
        <v>8.3333333333333329E-2</v>
      </c>
      <c r="AJ11" s="56">
        <f t="shared" si="4"/>
        <v>8.3333333333333329E-2</v>
      </c>
      <c r="AK11" s="56">
        <f t="shared" si="4"/>
        <v>8.3333333333333329E-2</v>
      </c>
      <c r="AL11" s="56">
        <f t="shared" si="4"/>
        <v>8.3333333333333329E-2</v>
      </c>
    </row>
    <row r="12" spans="1:42" x14ac:dyDescent="0.35">
      <c r="A12" s="33" t="s">
        <v>157</v>
      </c>
      <c r="B12" s="34" t="s">
        <v>101</v>
      </c>
      <c r="C12" s="56">
        <f t="shared" si="1"/>
        <v>0.16666666666666666</v>
      </c>
      <c r="D12" s="56">
        <f t="shared" si="1"/>
        <v>0.16666666666666666</v>
      </c>
      <c r="E12" s="56">
        <f t="shared" si="1"/>
        <v>0.16666666666666666</v>
      </c>
      <c r="F12" s="56">
        <f t="shared" si="1"/>
        <v>0.16666666666666666</v>
      </c>
      <c r="G12" s="56">
        <f t="shared" si="1"/>
        <v>0.16666666666666666</v>
      </c>
      <c r="H12" s="56">
        <f t="shared" si="1"/>
        <v>0.16666666666666666</v>
      </c>
      <c r="I12" s="56">
        <f t="shared" si="1"/>
        <v>0.16666666666666666</v>
      </c>
      <c r="J12" s="56">
        <f t="shared" si="1"/>
        <v>0.16666666666666666</v>
      </c>
      <c r="K12" s="56">
        <f t="shared" si="1"/>
        <v>0.16666666666666666</v>
      </c>
      <c r="L12" s="56">
        <f t="shared" si="1"/>
        <v>0.16666666666666666</v>
      </c>
      <c r="M12" s="56">
        <f t="shared" si="2"/>
        <v>0.16666666666666666</v>
      </c>
      <c r="N12" s="56">
        <f t="shared" si="2"/>
        <v>0.16666666666666666</v>
      </c>
      <c r="O12" s="56">
        <f t="shared" si="2"/>
        <v>0.25</v>
      </c>
      <c r="P12" s="56">
        <f t="shared" si="2"/>
        <v>0.25</v>
      </c>
      <c r="Q12" s="56">
        <f t="shared" si="2"/>
        <v>0.25</v>
      </c>
      <c r="R12" s="56">
        <f t="shared" si="2"/>
        <v>0.25</v>
      </c>
      <c r="S12" s="56">
        <f t="shared" si="2"/>
        <v>0.25</v>
      </c>
      <c r="T12" s="56">
        <f t="shared" si="2"/>
        <v>0.25</v>
      </c>
      <c r="U12" s="56">
        <f t="shared" si="2"/>
        <v>0.25</v>
      </c>
      <c r="V12" s="56">
        <f t="shared" si="2"/>
        <v>0.25</v>
      </c>
      <c r="W12" s="56">
        <f t="shared" si="3"/>
        <v>0.25</v>
      </c>
      <c r="X12" s="56">
        <f t="shared" si="3"/>
        <v>0.25</v>
      </c>
      <c r="Y12" s="56">
        <f t="shared" si="3"/>
        <v>0.25</v>
      </c>
      <c r="Z12" s="56">
        <f t="shared" si="3"/>
        <v>0.25</v>
      </c>
      <c r="AA12" s="56">
        <f t="shared" si="3"/>
        <v>0.25</v>
      </c>
      <c r="AB12" s="56">
        <f t="shared" si="3"/>
        <v>0.25</v>
      </c>
      <c r="AC12" s="56">
        <f t="shared" si="3"/>
        <v>0.25</v>
      </c>
      <c r="AD12" s="56">
        <f t="shared" si="3"/>
        <v>0.25</v>
      </c>
      <c r="AE12" s="56">
        <f t="shared" si="3"/>
        <v>0.25</v>
      </c>
      <c r="AF12" s="56">
        <f t="shared" si="3"/>
        <v>0.25</v>
      </c>
      <c r="AG12" s="56">
        <f t="shared" si="4"/>
        <v>0.25</v>
      </c>
      <c r="AH12" s="56">
        <f t="shared" si="4"/>
        <v>0.25</v>
      </c>
      <c r="AI12" s="56">
        <f t="shared" si="4"/>
        <v>0.25</v>
      </c>
      <c r="AJ12" s="56">
        <f t="shared" si="4"/>
        <v>0.25</v>
      </c>
      <c r="AK12" s="56">
        <f t="shared" si="4"/>
        <v>0.25</v>
      </c>
      <c r="AL12" s="56">
        <f t="shared" si="4"/>
        <v>0.25</v>
      </c>
    </row>
    <row r="13" spans="1:42" x14ac:dyDescent="0.35">
      <c r="A13" s="33" t="s">
        <v>158</v>
      </c>
      <c r="B13" s="34" t="s">
        <v>101</v>
      </c>
      <c r="C13" s="56">
        <f t="shared" si="1"/>
        <v>8.3333333333333329E-2</v>
      </c>
      <c r="D13" s="56">
        <f t="shared" si="1"/>
        <v>8.3333333333333329E-2</v>
      </c>
      <c r="E13" s="56">
        <f t="shared" si="1"/>
        <v>8.3333333333333329E-2</v>
      </c>
      <c r="F13" s="56">
        <f t="shared" si="1"/>
        <v>8.3333333333333329E-2</v>
      </c>
      <c r="G13" s="56">
        <f t="shared" si="1"/>
        <v>8.3333333333333329E-2</v>
      </c>
      <c r="H13" s="56">
        <f t="shared" si="1"/>
        <v>8.3333333333333329E-2</v>
      </c>
      <c r="I13" s="56">
        <f t="shared" si="1"/>
        <v>8.3333333333333329E-2</v>
      </c>
      <c r="J13" s="56">
        <f t="shared" si="1"/>
        <v>8.3333333333333329E-2</v>
      </c>
      <c r="K13" s="56">
        <f t="shared" si="1"/>
        <v>8.3333333333333329E-2</v>
      </c>
      <c r="L13" s="56">
        <f t="shared" si="1"/>
        <v>8.3333333333333329E-2</v>
      </c>
      <c r="M13" s="56">
        <f t="shared" si="2"/>
        <v>8.3333333333333329E-2</v>
      </c>
      <c r="N13" s="56">
        <f t="shared" si="2"/>
        <v>8.3333333333333329E-2</v>
      </c>
      <c r="O13" s="56">
        <f t="shared" si="2"/>
        <v>8.3333333333333329E-2</v>
      </c>
      <c r="P13" s="56">
        <f t="shared" si="2"/>
        <v>8.3333333333333329E-2</v>
      </c>
      <c r="Q13" s="56">
        <f t="shared" si="2"/>
        <v>8.3333333333333329E-2</v>
      </c>
      <c r="R13" s="56">
        <f t="shared" si="2"/>
        <v>8.3333333333333329E-2</v>
      </c>
      <c r="S13" s="56">
        <f t="shared" si="2"/>
        <v>8.3333333333333329E-2</v>
      </c>
      <c r="T13" s="56">
        <f t="shared" si="2"/>
        <v>8.3333333333333329E-2</v>
      </c>
      <c r="U13" s="56">
        <f t="shared" si="2"/>
        <v>8.3333333333333329E-2</v>
      </c>
      <c r="V13" s="56">
        <f t="shared" si="2"/>
        <v>8.3333333333333329E-2</v>
      </c>
      <c r="W13" s="56">
        <f t="shared" si="3"/>
        <v>8.3333333333333329E-2</v>
      </c>
      <c r="X13" s="56">
        <f t="shared" si="3"/>
        <v>8.3333333333333329E-2</v>
      </c>
      <c r="Y13" s="56">
        <f t="shared" si="3"/>
        <v>8.3333333333333329E-2</v>
      </c>
      <c r="Z13" s="56">
        <f t="shared" si="3"/>
        <v>8.3333333333333329E-2</v>
      </c>
      <c r="AA13" s="56">
        <f t="shared" si="3"/>
        <v>8.3333333333333329E-2</v>
      </c>
      <c r="AB13" s="56">
        <f t="shared" si="3"/>
        <v>8.3333333333333329E-2</v>
      </c>
      <c r="AC13" s="56">
        <f t="shared" si="3"/>
        <v>8.3333333333333329E-2</v>
      </c>
      <c r="AD13" s="56">
        <f t="shared" si="3"/>
        <v>8.3333333333333329E-2</v>
      </c>
      <c r="AE13" s="56">
        <f t="shared" si="3"/>
        <v>8.3333333333333329E-2</v>
      </c>
      <c r="AF13" s="56">
        <f t="shared" si="3"/>
        <v>8.3333333333333329E-2</v>
      </c>
      <c r="AG13" s="56">
        <f t="shared" si="4"/>
        <v>8.3333333333333329E-2</v>
      </c>
      <c r="AH13" s="56">
        <f t="shared" si="4"/>
        <v>8.3333333333333329E-2</v>
      </c>
      <c r="AI13" s="56">
        <f t="shared" si="4"/>
        <v>8.3333333333333329E-2</v>
      </c>
      <c r="AJ13" s="56">
        <f t="shared" si="4"/>
        <v>8.3333333333333329E-2</v>
      </c>
      <c r="AK13" s="56">
        <f t="shared" si="4"/>
        <v>8.3333333333333329E-2</v>
      </c>
      <c r="AL13" s="56">
        <f t="shared" si="4"/>
        <v>8.3333333333333329E-2</v>
      </c>
    </row>
    <row r="15" spans="1:42" x14ac:dyDescent="0.35">
      <c r="A15" s="31" t="s">
        <v>232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</row>
    <row r="16" spans="1:42" x14ac:dyDescent="0.35">
      <c r="A16" s="33" t="s">
        <v>153</v>
      </c>
      <c r="B16" s="34" t="s">
        <v>101</v>
      </c>
      <c r="C16" s="56">
        <f t="shared" ref="C16:C21" si="5">_xlfn.XLOOKUP($A16,A_DeptNames,A_DeptStart)+C8</f>
        <v>12.333333333333334</v>
      </c>
      <c r="D16" s="56">
        <f t="shared" ref="D16:AL16" si="6">C16+D8</f>
        <v>12.666666666666668</v>
      </c>
      <c r="E16" s="56">
        <f t="shared" si="6"/>
        <v>13.000000000000002</v>
      </c>
      <c r="F16" s="56">
        <f t="shared" si="6"/>
        <v>13.333333333333336</v>
      </c>
      <c r="G16" s="56">
        <f t="shared" si="6"/>
        <v>13.66666666666667</v>
      </c>
      <c r="H16" s="56">
        <f t="shared" si="6"/>
        <v>14.000000000000004</v>
      </c>
      <c r="I16" s="56">
        <f t="shared" si="6"/>
        <v>14.333333333333337</v>
      </c>
      <c r="J16" s="56">
        <f t="shared" si="6"/>
        <v>14.666666666666671</v>
      </c>
      <c r="K16" s="56">
        <f t="shared" si="6"/>
        <v>15.000000000000005</v>
      </c>
      <c r="L16" s="56">
        <f t="shared" si="6"/>
        <v>15.333333333333339</v>
      </c>
      <c r="M16" s="56">
        <f t="shared" si="6"/>
        <v>15.666666666666673</v>
      </c>
      <c r="N16" s="56">
        <f t="shared" si="6"/>
        <v>16.000000000000007</v>
      </c>
      <c r="O16" s="56">
        <f t="shared" si="6"/>
        <v>16.250000000000007</v>
      </c>
      <c r="P16" s="56">
        <f t="shared" si="6"/>
        <v>16.500000000000007</v>
      </c>
      <c r="Q16" s="56">
        <f t="shared" si="6"/>
        <v>16.750000000000007</v>
      </c>
      <c r="R16" s="56">
        <f t="shared" si="6"/>
        <v>17.000000000000007</v>
      </c>
      <c r="S16" s="56">
        <f t="shared" si="6"/>
        <v>17.250000000000007</v>
      </c>
      <c r="T16" s="56">
        <f t="shared" si="6"/>
        <v>17.500000000000007</v>
      </c>
      <c r="U16" s="56">
        <f t="shared" si="6"/>
        <v>17.750000000000007</v>
      </c>
      <c r="V16" s="56">
        <f t="shared" si="6"/>
        <v>18.000000000000007</v>
      </c>
      <c r="W16" s="56">
        <f t="shared" si="6"/>
        <v>18.250000000000007</v>
      </c>
      <c r="X16" s="56">
        <f t="shared" si="6"/>
        <v>18.500000000000007</v>
      </c>
      <c r="Y16" s="56">
        <f t="shared" si="6"/>
        <v>18.750000000000007</v>
      </c>
      <c r="Z16" s="56">
        <f t="shared" si="6"/>
        <v>19.000000000000007</v>
      </c>
      <c r="AA16" s="56">
        <f t="shared" si="6"/>
        <v>19.250000000000007</v>
      </c>
      <c r="AB16" s="56">
        <f t="shared" si="6"/>
        <v>19.500000000000007</v>
      </c>
      <c r="AC16" s="56">
        <f t="shared" si="6"/>
        <v>19.750000000000007</v>
      </c>
      <c r="AD16" s="56">
        <f t="shared" si="6"/>
        <v>20.000000000000007</v>
      </c>
      <c r="AE16" s="56">
        <f t="shared" si="6"/>
        <v>20.250000000000007</v>
      </c>
      <c r="AF16" s="56">
        <f t="shared" si="6"/>
        <v>20.500000000000007</v>
      </c>
      <c r="AG16" s="56">
        <f t="shared" si="6"/>
        <v>20.750000000000007</v>
      </c>
      <c r="AH16" s="56">
        <f t="shared" si="6"/>
        <v>21.000000000000007</v>
      </c>
      <c r="AI16" s="56">
        <f t="shared" si="6"/>
        <v>21.250000000000007</v>
      </c>
      <c r="AJ16" s="56">
        <f t="shared" si="6"/>
        <v>21.500000000000007</v>
      </c>
      <c r="AK16" s="56">
        <f t="shared" si="6"/>
        <v>21.750000000000007</v>
      </c>
      <c r="AL16" s="56">
        <f t="shared" si="6"/>
        <v>22.000000000000007</v>
      </c>
    </row>
    <row r="17" spans="1:42" x14ac:dyDescent="0.35">
      <c r="A17" s="33" t="s">
        <v>154</v>
      </c>
      <c r="B17" s="34" t="s">
        <v>101</v>
      </c>
      <c r="C17" s="56">
        <f t="shared" si="5"/>
        <v>4.083333333333333</v>
      </c>
      <c r="D17" s="56">
        <f t="shared" ref="D17:AL17" si="7">C17+D9</f>
        <v>4.1666666666666661</v>
      </c>
      <c r="E17" s="56">
        <f t="shared" si="7"/>
        <v>4.2499999999999991</v>
      </c>
      <c r="F17" s="56">
        <f t="shared" si="7"/>
        <v>4.3333333333333321</v>
      </c>
      <c r="G17" s="56">
        <f t="shared" si="7"/>
        <v>4.4166666666666652</v>
      </c>
      <c r="H17" s="56">
        <f t="shared" si="7"/>
        <v>4.4999999999999982</v>
      </c>
      <c r="I17" s="56">
        <f t="shared" si="7"/>
        <v>4.5833333333333313</v>
      </c>
      <c r="J17" s="56">
        <f t="shared" si="7"/>
        <v>4.6666666666666643</v>
      </c>
      <c r="K17" s="56">
        <f t="shared" si="7"/>
        <v>4.7499999999999973</v>
      </c>
      <c r="L17" s="56">
        <f t="shared" si="7"/>
        <v>4.8333333333333304</v>
      </c>
      <c r="M17" s="56">
        <f t="shared" si="7"/>
        <v>4.9166666666666634</v>
      </c>
      <c r="N17" s="56">
        <f t="shared" si="7"/>
        <v>4.9999999999999964</v>
      </c>
      <c r="O17" s="56">
        <f t="shared" si="7"/>
        <v>5.0833333333333295</v>
      </c>
      <c r="P17" s="56">
        <f t="shared" si="7"/>
        <v>5.1666666666666625</v>
      </c>
      <c r="Q17" s="56">
        <f t="shared" si="7"/>
        <v>5.2499999999999956</v>
      </c>
      <c r="R17" s="56">
        <f t="shared" si="7"/>
        <v>5.3333333333333286</v>
      </c>
      <c r="S17" s="56">
        <f t="shared" si="7"/>
        <v>5.4166666666666616</v>
      </c>
      <c r="T17" s="56">
        <f t="shared" si="7"/>
        <v>5.4999999999999947</v>
      </c>
      <c r="U17" s="56">
        <f t="shared" si="7"/>
        <v>5.5833333333333277</v>
      </c>
      <c r="V17" s="56">
        <f t="shared" si="7"/>
        <v>5.6666666666666607</v>
      </c>
      <c r="W17" s="56">
        <f t="shared" si="7"/>
        <v>5.7499999999999938</v>
      </c>
      <c r="X17" s="56">
        <f t="shared" si="7"/>
        <v>5.8333333333333268</v>
      </c>
      <c r="Y17" s="56">
        <f t="shared" si="7"/>
        <v>5.9166666666666599</v>
      </c>
      <c r="Z17" s="56">
        <f t="shared" si="7"/>
        <v>5.9999999999999929</v>
      </c>
      <c r="AA17" s="56">
        <f t="shared" si="7"/>
        <v>6.0833333333333259</v>
      </c>
      <c r="AB17" s="56">
        <f t="shared" si="7"/>
        <v>6.166666666666659</v>
      </c>
      <c r="AC17" s="56">
        <f t="shared" si="7"/>
        <v>6.249999999999992</v>
      </c>
      <c r="AD17" s="56">
        <f t="shared" si="7"/>
        <v>6.333333333333325</v>
      </c>
      <c r="AE17" s="56">
        <f t="shared" si="7"/>
        <v>6.4166666666666581</v>
      </c>
      <c r="AF17" s="56">
        <f t="shared" si="7"/>
        <v>6.4999999999999911</v>
      </c>
      <c r="AG17" s="56">
        <f t="shared" si="7"/>
        <v>6.5833333333333242</v>
      </c>
      <c r="AH17" s="56">
        <f t="shared" si="7"/>
        <v>6.6666666666666572</v>
      </c>
      <c r="AI17" s="56">
        <f t="shared" si="7"/>
        <v>6.7499999999999902</v>
      </c>
      <c r="AJ17" s="56">
        <f t="shared" si="7"/>
        <v>6.8333333333333233</v>
      </c>
      <c r="AK17" s="56">
        <f t="shared" si="7"/>
        <v>6.9166666666666563</v>
      </c>
      <c r="AL17" s="56">
        <f t="shared" si="7"/>
        <v>6.9999999999999893</v>
      </c>
    </row>
    <row r="18" spans="1:42" x14ac:dyDescent="0.35">
      <c r="A18" s="33" t="s">
        <v>155</v>
      </c>
      <c r="B18" s="34" t="s">
        <v>101</v>
      </c>
      <c r="C18" s="56">
        <f t="shared" si="5"/>
        <v>8.25</v>
      </c>
      <c r="D18" s="56">
        <f t="shared" ref="D18:AL18" si="8">C18+D10</f>
        <v>8.5</v>
      </c>
      <c r="E18" s="56">
        <f t="shared" si="8"/>
        <v>8.75</v>
      </c>
      <c r="F18" s="56">
        <f t="shared" si="8"/>
        <v>9</v>
      </c>
      <c r="G18" s="56">
        <f t="shared" si="8"/>
        <v>9.25</v>
      </c>
      <c r="H18" s="56">
        <f t="shared" si="8"/>
        <v>9.5</v>
      </c>
      <c r="I18" s="56">
        <f t="shared" si="8"/>
        <v>9.75</v>
      </c>
      <c r="J18" s="56">
        <f t="shared" si="8"/>
        <v>10</v>
      </c>
      <c r="K18" s="56">
        <f t="shared" si="8"/>
        <v>10.25</v>
      </c>
      <c r="L18" s="56">
        <f t="shared" si="8"/>
        <v>10.5</v>
      </c>
      <c r="M18" s="56">
        <f t="shared" si="8"/>
        <v>10.75</v>
      </c>
      <c r="N18" s="56">
        <f t="shared" si="8"/>
        <v>11</v>
      </c>
      <c r="O18" s="56">
        <f t="shared" si="8"/>
        <v>11.25</v>
      </c>
      <c r="P18" s="56">
        <f t="shared" si="8"/>
        <v>11.5</v>
      </c>
      <c r="Q18" s="56">
        <f t="shared" si="8"/>
        <v>11.75</v>
      </c>
      <c r="R18" s="56">
        <f t="shared" si="8"/>
        <v>12</v>
      </c>
      <c r="S18" s="56">
        <f t="shared" si="8"/>
        <v>12.25</v>
      </c>
      <c r="T18" s="56">
        <f t="shared" si="8"/>
        <v>12.5</v>
      </c>
      <c r="U18" s="56">
        <f t="shared" si="8"/>
        <v>12.75</v>
      </c>
      <c r="V18" s="56">
        <f t="shared" si="8"/>
        <v>13</v>
      </c>
      <c r="W18" s="56">
        <f t="shared" si="8"/>
        <v>13.25</v>
      </c>
      <c r="X18" s="56">
        <f t="shared" si="8"/>
        <v>13.5</v>
      </c>
      <c r="Y18" s="56">
        <f t="shared" si="8"/>
        <v>13.75</v>
      </c>
      <c r="Z18" s="56">
        <f t="shared" si="8"/>
        <v>14</v>
      </c>
      <c r="AA18" s="56">
        <f t="shared" si="8"/>
        <v>14.25</v>
      </c>
      <c r="AB18" s="56">
        <f t="shared" si="8"/>
        <v>14.5</v>
      </c>
      <c r="AC18" s="56">
        <f t="shared" si="8"/>
        <v>14.75</v>
      </c>
      <c r="AD18" s="56">
        <f t="shared" si="8"/>
        <v>15</v>
      </c>
      <c r="AE18" s="56">
        <f t="shared" si="8"/>
        <v>15.25</v>
      </c>
      <c r="AF18" s="56">
        <f t="shared" si="8"/>
        <v>15.5</v>
      </c>
      <c r="AG18" s="56">
        <f t="shared" si="8"/>
        <v>15.75</v>
      </c>
      <c r="AH18" s="56">
        <f t="shared" si="8"/>
        <v>16</v>
      </c>
      <c r="AI18" s="56">
        <f t="shared" si="8"/>
        <v>16.25</v>
      </c>
      <c r="AJ18" s="56">
        <f t="shared" si="8"/>
        <v>16.5</v>
      </c>
      <c r="AK18" s="56">
        <f t="shared" si="8"/>
        <v>16.75</v>
      </c>
      <c r="AL18" s="56">
        <f t="shared" si="8"/>
        <v>17</v>
      </c>
    </row>
    <row r="19" spans="1:42" x14ac:dyDescent="0.35">
      <c r="A19" s="33" t="s">
        <v>156</v>
      </c>
      <c r="B19" s="34" t="s">
        <v>101</v>
      </c>
      <c r="C19" s="56">
        <f t="shared" si="5"/>
        <v>4.083333333333333</v>
      </c>
      <c r="D19" s="56">
        <f t="shared" ref="D19:AL19" si="9">C19+D11</f>
        <v>4.1666666666666661</v>
      </c>
      <c r="E19" s="56">
        <f t="shared" si="9"/>
        <v>4.2499999999999991</v>
      </c>
      <c r="F19" s="56">
        <f t="shared" si="9"/>
        <v>4.3333333333333321</v>
      </c>
      <c r="G19" s="56">
        <f t="shared" si="9"/>
        <v>4.4166666666666652</v>
      </c>
      <c r="H19" s="56">
        <f t="shared" si="9"/>
        <v>4.4999999999999982</v>
      </c>
      <c r="I19" s="56">
        <f t="shared" si="9"/>
        <v>4.5833333333333313</v>
      </c>
      <c r="J19" s="56">
        <f t="shared" si="9"/>
        <v>4.6666666666666643</v>
      </c>
      <c r="K19" s="56">
        <f t="shared" si="9"/>
        <v>4.7499999999999973</v>
      </c>
      <c r="L19" s="56">
        <f t="shared" si="9"/>
        <v>4.8333333333333304</v>
      </c>
      <c r="M19" s="56">
        <f t="shared" si="9"/>
        <v>4.9166666666666634</v>
      </c>
      <c r="N19" s="56">
        <f t="shared" si="9"/>
        <v>4.9999999999999964</v>
      </c>
      <c r="O19" s="56">
        <f t="shared" si="9"/>
        <v>5.0833333333333295</v>
      </c>
      <c r="P19" s="56">
        <f t="shared" si="9"/>
        <v>5.1666666666666625</v>
      </c>
      <c r="Q19" s="56">
        <f t="shared" si="9"/>
        <v>5.2499999999999956</v>
      </c>
      <c r="R19" s="56">
        <f t="shared" si="9"/>
        <v>5.3333333333333286</v>
      </c>
      <c r="S19" s="56">
        <f t="shared" si="9"/>
        <v>5.4166666666666616</v>
      </c>
      <c r="T19" s="56">
        <f t="shared" si="9"/>
        <v>5.4999999999999947</v>
      </c>
      <c r="U19" s="56">
        <f t="shared" si="9"/>
        <v>5.5833333333333277</v>
      </c>
      <c r="V19" s="56">
        <f t="shared" si="9"/>
        <v>5.6666666666666607</v>
      </c>
      <c r="W19" s="56">
        <f t="shared" si="9"/>
        <v>5.7499999999999938</v>
      </c>
      <c r="X19" s="56">
        <f t="shared" si="9"/>
        <v>5.8333333333333268</v>
      </c>
      <c r="Y19" s="56">
        <f t="shared" si="9"/>
        <v>5.9166666666666599</v>
      </c>
      <c r="Z19" s="56">
        <f t="shared" si="9"/>
        <v>5.9999999999999929</v>
      </c>
      <c r="AA19" s="56">
        <f t="shared" si="9"/>
        <v>6.0833333333333259</v>
      </c>
      <c r="AB19" s="56">
        <f t="shared" si="9"/>
        <v>6.166666666666659</v>
      </c>
      <c r="AC19" s="56">
        <f t="shared" si="9"/>
        <v>6.249999999999992</v>
      </c>
      <c r="AD19" s="56">
        <f t="shared" si="9"/>
        <v>6.333333333333325</v>
      </c>
      <c r="AE19" s="56">
        <f t="shared" si="9"/>
        <v>6.4166666666666581</v>
      </c>
      <c r="AF19" s="56">
        <f t="shared" si="9"/>
        <v>6.4999999999999911</v>
      </c>
      <c r="AG19" s="56">
        <f t="shared" si="9"/>
        <v>6.5833333333333242</v>
      </c>
      <c r="AH19" s="56">
        <f t="shared" si="9"/>
        <v>6.6666666666666572</v>
      </c>
      <c r="AI19" s="56">
        <f t="shared" si="9"/>
        <v>6.7499999999999902</v>
      </c>
      <c r="AJ19" s="56">
        <f t="shared" si="9"/>
        <v>6.8333333333333233</v>
      </c>
      <c r="AK19" s="56">
        <f t="shared" si="9"/>
        <v>6.9166666666666563</v>
      </c>
      <c r="AL19" s="56">
        <f t="shared" si="9"/>
        <v>6.9999999999999893</v>
      </c>
    </row>
    <row r="20" spans="1:42" x14ac:dyDescent="0.35">
      <c r="A20" s="33" t="s">
        <v>157</v>
      </c>
      <c r="B20" s="34" t="s">
        <v>101</v>
      </c>
      <c r="C20" s="56">
        <f t="shared" si="5"/>
        <v>7.166666666666667</v>
      </c>
      <c r="D20" s="56">
        <f t="shared" ref="D20:AL20" si="10">C20+D12</f>
        <v>7.3333333333333339</v>
      </c>
      <c r="E20" s="56">
        <f t="shared" si="10"/>
        <v>7.5000000000000009</v>
      </c>
      <c r="F20" s="56">
        <f t="shared" si="10"/>
        <v>7.6666666666666679</v>
      </c>
      <c r="G20" s="56">
        <f t="shared" si="10"/>
        <v>7.8333333333333348</v>
      </c>
      <c r="H20" s="56">
        <f t="shared" si="10"/>
        <v>8.0000000000000018</v>
      </c>
      <c r="I20" s="56">
        <f t="shared" si="10"/>
        <v>8.1666666666666679</v>
      </c>
      <c r="J20" s="56">
        <f t="shared" si="10"/>
        <v>8.3333333333333339</v>
      </c>
      <c r="K20" s="56">
        <f t="shared" si="10"/>
        <v>8.5</v>
      </c>
      <c r="L20" s="56">
        <f t="shared" si="10"/>
        <v>8.6666666666666661</v>
      </c>
      <c r="M20" s="56">
        <f t="shared" si="10"/>
        <v>8.8333333333333321</v>
      </c>
      <c r="N20" s="56">
        <f t="shared" si="10"/>
        <v>8.9999999999999982</v>
      </c>
      <c r="O20" s="56">
        <f t="shared" si="10"/>
        <v>9.2499999999999982</v>
      </c>
      <c r="P20" s="56">
        <f t="shared" si="10"/>
        <v>9.4999999999999982</v>
      </c>
      <c r="Q20" s="56">
        <f t="shared" si="10"/>
        <v>9.7499999999999982</v>
      </c>
      <c r="R20" s="56">
        <f t="shared" si="10"/>
        <v>9.9999999999999982</v>
      </c>
      <c r="S20" s="56">
        <f t="shared" si="10"/>
        <v>10.249999999999998</v>
      </c>
      <c r="T20" s="56">
        <f t="shared" si="10"/>
        <v>10.499999999999998</v>
      </c>
      <c r="U20" s="56">
        <f t="shared" si="10"/>
        <v>10.749999999999998</v>
      </c>
      <c r="V20" s="56">
        <f t="shared" si="10"/>
        <v>10.999999999999998</v>
      </c>
      <c r="W20" s="56">
        <f t="shared" si="10"/>
        <v>11.249999999999998</v>
      </c>
      <c r="X20" s="56">
        <f t="shared" si="10"/>
        <v>11.499999999999998</v>
      </c>
      <c r="Y20" s="56">
        <f t="shared" si="10"/>
        <v>11.749999999999998</v>
      </c>
      <c r="Z20" s="56">
        <f t="shared" si="10"/>
        <v>11.999999999999998</v>
      </c>
      <c r="AA20" s="56">
        <f t="shared" si="10"/>
        <v>12.249999999999998</v>
      </c>
      <c r="AB20" s="56">
        <f t="shared" si="10"/>
        <v>12.499999999999998</v>
      </c>
      <c r="AC20" s="56">
        <f t="shared" si="10"/>
        <v>12.749999999999998</v>
      </c>
      <c r="AD20" s="56">
        <f t="shared" si="10"/>
        <v>12.999999999999998</v>
      </c>
      <c r="AE20" s="56">
        <f t="shared" si="10"/>
        <v>13.249999999999998</v>
      </c>
      <c r="AF20" s="56">
        <f t="shared" si="10"/>
        <v>13.499999999999998</v>
      </c>
      <c r="AG20" s="56">
        <f t="shared" si="10"/>
        <v>13.749999999999998</v>
      </c>
      <c r="AH20" s="56">
        <f t="shared" si="10"/>
        <v>13.999999999999998</v>
      </c>
      <c r="AI20" s="56">
        <f t="shared" si="10"/>
        <v>14.249999999999998</v>
      </c>
      <c r="AJ20" s="56">
        <f t="shared" si="10"/>
        <v>14.499999999999998</v>
      </c>
      <c r="AK20" s="56">
        <f t="shared" si="10"/>
        <v>14.749999999999998</v>
      </c>
      <c r="AL20" s="56">
        <f t="shared" si="10"/>
        <v>14.999999999999998</v>
      </c>
    </row>
    <row r="21" spans="1:42" x14ac:dyDescent="0.35">
      <c r="A21" s="33" t="s">
        <v>158</v>
      </c>
      <c r="B21" s="34" t="s">
        <v>101</v>
      </c>
      <c r="C21" s="56">
        <f t="shared" si="5"/>
        <v>5.083333333333333</v>
      </c>
      <c r="D21" s="56">
        <f t="shared" ref="D21:AL21" si="11">C21+D13</f>
        <v>5.1666666666666661</v>
      </c>
      <c r="E21" s="56">
        <f t="shared" si="11"/>
        <v>5.2499999999999991</v>
      </c>
      <c r="F21" s="56">
        <f t="shared" si="11"/>
        <v>5.3333333333333321</v>
      </c>
      <c r="G21" s="56">
        <f t="shared" si="11"/>
        <v>5.4166666666666652</v>
      </c>
      <c r="H21" s="56">
        <f t="shared" si="11"/>
        <v>5.4999999999999982</v>
      </c>
      <c r="I21" s="56">
        <f t="shared" si="11"/>
        <v>5.5833333333333313</v>
      </c>
      <c r="J21" s="56">
        <f t="shared" si="11"/>
        <v>5.6666666666666643</v>
      </c>
      <c r="K21" s="56">
        <f t="shared" si="11"/>
        <v>5.7499999999999973</v>
      </c>
      <c r="L21" s="56">
        <f t="shared" si="11"/>
        <v>5.8333333333333304</v>
      </c>
      <c r="M21" s="56">
        <f t="shared" si="11"/>
        <v>5.9166666666666634</v>
      </c>
      <c r="N21" s="56">
        <f t="shared" si="11"/>
        <v>5.9999999999999964</v>
      </c>
      <c r="O21" s="56">
        <f t="shared" si="11"/>
        <v>6.0833333333333295</v>
      </c>
      <c r="P21" s="56">
        <f t="shared" si="11"/>
        <v>6.1666666666666625</v>
      </c>
      <c r="Q21" s="56">
        <f t="shared" si="11"/>
        <v>6.2499999999999956</v>
      </c>
      <c r="R21" s="56">
        <f t="shared" si="11"/>
        <v>6.3333333333333286</v>
      </c>
      <c r="S21" s="56">
        <f t="shared" si="11"/>
        <v>6.4166666666666616</v>
      </c>
      <c r="T21" s="56">
        <f t="shared" si="11"/>
        <v>6.4999999999999947</v>
      </c>
      <c r="U21" s="56">
        <f t="shared" si="11"/>
        <v>6.5833333333333277</v>
      </c>
      <c r="V21" s="56">
        <f t="shared" si="11"/>
        <v>6.6666666666666607</v>
      </c>
      <c r="W21" s="56">
        <f t="shared" si="11"/>
        <v>6.7499999999999938</v>
      </c>
      <c r="X21" s="56">
        <f t="shared" si="11"/>
        <v>6.8333333333333268</v>
      </c>
      <c r="Y21" s="56">
        <f t="shared" si="11"/>
        <v>6.9166666666666599</v>
      </c>
      <c r="Z21" s="56">
        <f t="shared" si="11"/>
        <v>6.9999999999999929</v>
      </c>
      <c r="AA21" s="56">
        <f t="shared" si="11"/>
        <v>7.0833333333333259</v>
      </c>
      <c r="AB21" s="56">
        <f t="shared" si="11"/>
        <v>7.166666666666659</v>
      </c>
      <c r="AC21" s="56">
        <f t="shared" si="11"/>
        <v>7.249999999999992</v>
      </c>
      <c r="AD21" s="56">
        <f t="shared" si="11"/>
        <v>7.333333333333325</v>
      </c>
      <c r="AE21" s="56">
        <f t="shared" si="11"/>
        <v>7.4166666666666581</v>
      </c>
      <c r="AF21" s="56">
        <f t="shared" si="11"/>
        <v>7.4999999999999911</v>
      </c>
      <c r="AG21" s="56">
        <f t="shared" si="11"/>
        <v>7.5833333333333242</v>
      </c>
      <c r="AH21" s="56">
        <f t="shared" si="11"/>
        <v>7.6666666666666572</v>
      </c>
      <c r="AI21" s="56">
        <f t="shared" si="11"/>
        <v>7.7499999999999902</v>
      </c>
      <c r="AJ21" s="56">
        <f t="shared" si="11"/>
        <v>7.8333333333333233</v>
      </c>
      <c r="AK21" s="56">
        <f t="shared" si="11"/>
        <v>7.9166666666666563</v>
      </c>
      <c r="AL21" s="56">
        <f t="shared" si="11"/>
        <v>7.9999999999999893</v>
      </c>
    </row>
    <row r="22" spans="1:42" x14ac:dyDescent="0.35">
      <c r="A22" s="59" t="s">
        <v>233</v>
      </c>
      <c r="B22" s="60" t="s">
        <v>101</v>
      </c>
      <c r="C22" s="65">
        <f t="shared" ref="C22:AL22" si="12">SUM(C16:C21)</f>
        <v>41</v>
      </c>
      <c r="D22" s="65">
        <f t="shared" si="12"/>
        <v>42</v>
      </c>
      <c r="E22" s="65">
        <f t="shared" si="12"/>
        <v>43</v>
      </c>
      <c r="F22" s="65">
        <f t="shared" si="12"/>
        <v>44</v>
      </c>
      <c r="G22" s="65">
        <f t="shared" si="12"/>
        <v>45</v>
      </c>
      <c r="H22" s="65">
        <f t="shared" si="12"/>
        <v>46</v>
      </c>
      <c r="I22" s="65">
        <f t="shared" si="12"/>
        <v>47</v>
      </c>
      <c r="J22" s="65">
        <f t="shared" si="12"/>
        <v>48</v>
      </c>
      <c r="K22" s="65">
        <f t="shared" si="12"/>
        <v>49</v>
      </c>
      <c r="L22" s="65">
        <f t="shared" si="12"/>
        <v>49.999999999999993</v>
      </c>
      <c r="M22" s="65">
        <f t="shared" si="12"/>
        <v>50.999999999999993</v>
      </c>
      <c r="N22" s="65">
        <f t="shared" si="12"/>
        <v>52</v>
      </c>
      <c r="O22" s="65">
        <f t="shared" si="12"/>
        <v>52.999999999999993</v>
      </c>
      <c r="P22" s="65">
        <f t="shared" si="12"/>
        <v>54</v>
      </c>
      <c r="Q22" s="65">
        <f t="shared" si="12"/>
        <v>54.999999999999986</v>
      </c>
      <c r="R22" s="65">
        <f t="shared" si="12"/>
        <v>55.999999999999993</v>
      </c>
      <c r="S22" s="65">
        <f t="shared" si="12"/>
        <v>57</v>
      </c>
      <c r="T22" s="65">
        <f t="shared" si="12"/>
        <v>57.999999999999986</v>
      </c>
      <c r="U22" s="65">
        <f t="shared" si="12"/>
        <v>58.999999999999993</v>
      </c>
      <c r="V22" s="65">
        <f t="shared" si="12"/>
        <v>59.999999999999986</v>
      </c>
      <c r="W22" s="65">
        <f t="shared" si="12"/>
        <v>60.999999999999986</v>
      </c>
      <c r="X22" s="65">
        <f t="shared" si="12"/>
        <v>61.999999999999993</v>
      </c>
      <c r="Y22" s="65">
        <f t="shared" si="12"/>
        <v>62.999999999999986</v>
      </c>
      <c r="Z22" s="65">
        <f t="shared" si="12"/>
        <v>63.999999999999986</v>
      </c>
      <c r="AA22" s="65">
        <f t="shared" si="12"/>
        <v>64.999999999999986</v>
      </c>
      <c r="AB22" s="65">
        <f t="shared" si="12"/>
        <v>65.999999999999986</v>
      </c>
      <c r="AC22" s="65">
        <f t="shared" si="12"/>
        <v>66.999999999999986</v>
      </c>
      <c r="AD22" s="65">
        <f t="shared" si="12"/>
        <v>67.999999999999986</v>
      </c>
      <c r="AE22" s="65">
        <f t="shared" si="12"/>
        <v>68.999999999999986</v>
      </c>
      <c r="AF22" s="65">
        <f t="shared" si="12"/>
        <v>69.999999999999986</v>
      </c>
      <c r="AG22" s="65">
        <f t="shared" si="12"/>
        <v>70.999999999999972</v>
      </c>
      <c r="AH22" s="65">
        <f t="shared" si="12"/>
        <v>71.999999999999972</v>
      </c>
      <c r="AI22" s="65">
        <f t="shared" si="12"/>
        <v>72.999999999999972</v>
      </c>
      <c r="AJ22" s="65">
        <f t="shared" si="12"/>
        <v>73.999999999999972</v>
      </c>
      <c r="AK22" s="65">
        <f t="shared" si="12"/>
        <v>74.999999999999972</v>
      </c>
      <c r="AL22" s="65">
        <f t="shared" si="12"/>
        <v>75.999999999999972</v>
      </c>
    </row>
    <row r="24" spans="1:42" x14ac:dyDescent="0.35">
      <c r="A24" s="31" t="s">
        <v>234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</row>
    <row r="25" spans="1:42" x14ac:dyDescent="0.35">
      <c r="A25" s="33" t="s">
        <v>235</v>
      </c>
      <c r="B25" s="34" t="s">
        <v>134</v>
      </c>
      <c r="C25" s="66">
        <f t="shared" ref="C25:AL25" si="13">(1+L_SalInfl)^(YEAR(C$5)-2026)</f>
        <v>1</v>
      </c>
      <c r="D25" s="66">
        <f t="shared" si="13"/>
        <v>1</v>
      </c>
      <c r="E25" s="66">
        <f t="shared" si="13"/>
        <v>1</v>
      </c>
      <c r="F25" s="66">
        <f t="shared" si="13"/>
        <v>1</v>
      </c>
      <c r="G25" s="66">
        <f t="shared" si="13"/>
        <v>1</v>
      </c>
      <c r="H25" s="66">
        <f t="shared" si="13"/>
        <v>1</v>
      </c>
      <c r="I25" s="66">
        <f t="shared" si="13"/>
        <v>1</v>
      </c>
      <c r="J25" s="66">
        <f t="shared" si="13"/>
        <v>1</v>
      </c>
      <c r="K25" s="66">
        <f t="shared" si="13"/>
        <v>1</v>
      </c>
      <c r="L25" s="66">
        <f t="shared" si="13"/>
        <v>1</v>
      </c>
      <c r="M25" s="66">
        <f t="shared" si="13"/>
        <v>1</v>
      </c>
      <c r="N25" s="66">
        <f t="shared" si="13"/>
        <v>1</v>
      </c>
      <c r="O25" s="66">
        <f t="shared" si="13"/>
        <v>1.04</v>
      </c>
      <c r="P25" s="66">
        <f t="shared" si="13"/>
        <v>1.04</v>
      </c>
      <c r="Q25" s="66">
        <f t="shared" si="13"/>
        <v>1.04</v>
      </c>
      <c r="R25" s="66">
        <f t="shared" si="13"/>
        <v>1.04</v>
      </c>
      <c r="S25" s="66">
        <f t="shared" si="13"/>
        <v>1.04</v>
      </c>
      <c r="T25" s="66">
        <f t="shared" si="13"/>
        <v>1.04</v>
      </c>
      <c r="U25" s="66">
        <f t="shared" si="13"/>
        <v>1.04</v>
      </c>
      <c r="V25" s="66">
        <f t="shared" si="13"/>
        <v>1.04</v>
      </c>
      <c r="W25" s="66">
        <f t="shared" si="13"/>
        <v>1.04</v>
      </c>
      <c r="X25" s="66">
        <f t="shared" si="13"/>
        <v>1.04</v>
      </c>
      <c r="Y25" s="66">
        <f t="shared" si="13"/>
        <v>1.04</v>
      </c>
      <c r="Z25" s="66">
        <f t="shared" si="13"/>
        <v>1.04</v>
      </c>
      <c r="AA25" s="66">
        <f t="shared" si="13"/>
        <v>1.0816000000000001</v>
      </c>
      <c r="AB25" s="66">
        <f t="shared" si="13"/>
        <v>1.0816000000000001</v>
      </c>
      <c r="AC25" s="66">
        <f t="shared" si="13"/>
        <v>1.0816000000000001</v>
      </c>
      <c r="AD25" s="66">
        <f t="shared" si="13"/>
        <v>1.0816000000000001</v>
      </c>
      <c r="AE25" s="66">
        <f t="shared" si="13"/>
        <v>1.0816000000000001</v>
      </c>
      <c r="AF25" s="66">
        <f t="shared" si="13"/>
        <v>1.0816000000000001</v>
      </c>
      <c r="AG25" s="66">
        <f t="shared" si="13"/>
        <v>1.0816000000000001</v>
      </c>
      <c r="AH25" s="66">
        <f t="shared" si="13"/>
        <v>1.0816000000000001</v>
      </c>
      <c r="AI25" s="66">
        <f t="shared" si="13"/>
        <v>1.0816000000000001</v>
      </c>
      <c r="AJ25" s="66">
        <f t="shared" si="13"/>
        <v>1.0816000000000001</v>
      </c>
      <c r="AK25" s="66">
        <f t="shared" si="13"/>
        <v>1.0816000000000001</v>
      </c>
      <c r="AL25" s="66">
        <f t="shared" si="13"/>
        <v>1.0816000000000001</v>
      </c>
    </row>
    <row r="27" spans="1:42" x14ac:dyDescent="0.35">
      <c r="A27" s="31" t="s">
        <v>236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</row>
    <row r="28" spans="1:42" x14ac:dyDescent="0.35">
      <c r="A28" s="33" t="s">
        <v>153</v>
      </c>
      <c r="B28" s="34" t="s">
        <v>144</v>
      </c>
      <c r="C28" s="58">
        <f t="shared" ref="C28:AL28" si="14">C16*_xlfn.XLOOKUP($A28,A_DeptNames,A_DeptSal)*C$25*A_Load/12</f>
        <v>179306.11111111115</v>
      </c>
      <c r="D28" s="58">
        <f t="shared" si="14"/>
        <v>184152.22222222228</v>
      </c>
      <c r="E28" s="58">
        <f t="shared" si="14"/>
        <v>188998.3333333334</v>
      </c>
      <c r="F28" s="58">
        <f t="shared" si="14"/>
        <v>193844.44444444453</v>
      </c>
      <c r="G28" s="58">
        <f t="shared" si="14"/>
        <v>198690.55555555562</v>
      </c>
      <c r="H28" s="58">
        <f t="shared" si="14"/>
        <v>203536.66666666677</v>
      </c>
      <c r="I28" s="58">
        <f t="shared" si="14"/>
        <v>208382.7777777779</v>
      </c>
      <c r="J28" s="58">
        <f t="shared" si="14"/>
        <v>213228.88888888899</v>
      </c>
      <c r="K28" s="58">
        <f t="shared" si="14"/>
        <v>218075.00000000012</v>
      </c>
      <c r="L28" s="58">
        <f t="shared" si="14"/>
        <v>222921.11111111124</v>
      </c>
      <c r="M28" s="58">
        <f t="shared" si="14"/>
        <v>227767.22222222236</v>
      </c>
      <c r="N28" s="58">
        <f t="shared" si="14"/>
        <v>232613.33333333349</v>
      </c>
      <c r="O28" s="58">
        <f t="shared" si="14"/>
        <v>245697.83333333349</v>
      </c>
      <c r="P28" s="58">
        <f t="shared" si="14"/>
        <v>249477.80000000016</v>
      </c>
      <c r="Q28" s="58">
        <f t="shared" si="14"/>
        <v>253257.76666666684</v>
      </c>
      <c r="R28" s="58">
        <f t="shared" si="14"/>
        <v>257037.73333333351</v>
      </c>
      <c r="S28" s="58">
        <f t="shared" si="14"/>
        <v>260817.70000000016</v>
      </c>
      <c r="T28" s="58">
        <f t="shared" si="14"/>
        <v>264597.6666666668</v>
      </c>
      <c r="U28" s="58">
        <f t="shared" si="14"/>
        <v>268377.63333333348</v>
      </c>
      <c r="V28" s="58">
        <f t="shared" si="14"/>
        <v>272157.60000000015</v>
      </c>
      <c r="W28" s="58">
        <f t="shared" si="14"/>
        <v>275937.56666666683</v>
      </c>
      <c r="X28" s="58">
        <f t="shared" si="14"/>
        <v>279717.5333333335</v>
      </c>
      <c r="Y28" s="58">
        <f t="shared" si="14"/>
        <v>283497.50000000017</v>
      </c>
      <c r="Z28" s="58">
        <f t="shared" si="14"/>
        <v>287277.46666666685</v>
      </c>
      <c r="AA28" s="58">
        <f t="shared" si="14"/>
        <v>302699.73066666687</v>
      </c>
      <c r="AB28" s="58">
        <f t="shared" si="14"/>
        <v>306630.89600000024</v>
      </c>
      <c r="AC28" s="58">
        <f t="shared" si="14"/>
        <v>310562.06133333355</v>
      </c>
      <c r="AD28" s="58">
        <f t="shared" si="14"/>
        <v>314493.22666666686</v>
      </c>
      <c r="AE28" s="58">
        <f t="shared" si="14"/>
        <v>318424.39200000023</v>
      </c>
      <c r="AF28" s="58">
        <f t="shared" si="14"/>
        <v>322355.55733333359</v>
      </c>
      <c r="AG28" s="58">
        <f t="shared" si="14"/>
        <v>326286.7226666669</v>
      </c>
      <c r="AH28" s="58">
        <f t="shared" si="14"/>
        <v>330217.88800000021</v>
      </c>
      <c r="AI28" s="58">
        <f t="shared" si="14"/>
        <v>334149.05333333358</v>
      </c>
      <c r="AJ28" s="58">
        <f t="shared" si="14"/>
        <v>338080.21866666689</v>
      </c>
      <c r="AK28" s="58">
        <f t="shared" si="14"/>
        <v>342011.38400000025</v>
      </c>
      <c r="AL28" s="58">
        <f t="shared" si="14"/>
        <v>345942.54933333356</v>
      </c>
    </row>
    <row r="29" spans="1:42" x14ac:dyDescent="0.35">
      <c r="A29" s="33" t="s">
        <v>154</v>
      </c>
      <c r="B29" s="34" t="s">
        <v>144</v>
      </c>
      <c r="C29" s="58">
        <f t="shared" ref="C29:AL29" si="15">C17*_xlfn.XLOOKUP($A29,A_DeptNames,A_DeptSal)*C$25*A_Load/12</f>
        <v>54798.333333333343</v>
      </c>
      <c r="D29" s="58">
        <f t="shared" si="15"/>
        <v>55916.666666666679</v>
      </c>
      <c r="E29" s="58">
        <f t="shared" si="15"/>
        <v>57035</v>
      </c>
      <c r="F29" s="58">
        <f t="shared" si="15"/>
        <v>58153.333333333336</v>
      </c>
      <c r="G29" s="58">
        <f t="shared" si="15"/>
        <v>59271.666666666657</v>
      </c>
      <c r="H29" s="58">
        <f t="shared" si="15"/>
        <v>60389.999999999993</v>
      </c>
      <c r="I29" s="58">
        <f t="shared" si="15"/>
        <v>61508.333333333321</v>
      </c>
      <c r="J29" s="58">
        <f t="shared" si="15"/>
        <v>62626.666666666657</v>
      </c>
      <c r="K29" s="58">
        <f t="shared" si="15"/>
        <v>63744.999999999971</v>
      </c>
      <c r="L29" s="58">
        <f t="shared" si="15"/>
        <v>64863.333333333307</v>
      </c>
      <c r="M29" s="58">
        <f t="shared" si="15"/>
        <v>65981.666666666642</v>
      </c>
      <c r="N29" s="58">
        <f t="shared" si="15"/>
        <v>67099.999999999956</v>
      </c>
      <c r="O29" s="58">
        <f t="shared" si="15"/>
        <v>70947.066666666637</v>
      </c>
      <c r="P29" s="58">
        <f t="shared" si="15"/>
        <v>72110.133333333302</v>
      </c>
      <c r="Q29" s="58">
        <f t="shared" si="15"/>
        <v>73273.199999999953</v>
      </c>
      <c r="R29" s="58">
        <f t="shared" si="15"/>
        <v>74436.266666666619</v>
      </c>
      <c r="S29" s="58">
        <f t="shared" si="15"/>
        <v>75599.333333333285</v>
      </c>
      <c r="T29" s="58">
        <f t="shared" si="15"/>
        <v>76762.399999999951</v>
      </c>
      <c r="U29" s="58">
        <f t="shared" si="15"/>
        <v>77925.466666666602</v>
      </c>
      <c r="V29" s="58">
        <f t="shared" si="15"/>
        <v>79088.533333333282</v>
      </c>
      <c r="W29" s="58">
        <f t="shared" si="15"/>
        <v>80251.599999999933</v>
      </c>
      <c r="X29" s="58">
        <f t="shared" si="15"/>
        <v>81414.666666666599</v>
      </c>
      <c r="Y29" s="58">
        <f t="shared" si="15"/>
        <v>82577.733333333264</v>
      </c>
      <c r="Z29" s="58">
        <f t="shared" si="15"/>
        <v>83740.79999999993</v>
      </c>
      <c r="AA29" s="58">
        <f t="shared" si="15"/>
        <v>88300.021333333236</v>
      </c>
      <c r="AB29" s="58">
        <f t="shared" si="15"/>
        <v>89509.610666666587</v>
      </c>
      <c r="AC29" s="58">
        <f t="shared" si="15"/>
        <v>90719.19999999991</v>
      </c>
      <c r="AD29" s="58">
        <f t="shared" si="15"/>
        <v>91928.789333333247</v>
      </c>
      <c r="AE29" s="58">
        <f t="shared" si="15"/>
        <v>93138.378666666569</v>
      </c>
      <c r="AF29" s="58">
        <f t="shared" si="15"/>
        <v>94347.967999999892</v>
      </c>
      <c r="AG29" s="58">
        <f t="shared" si="15"/>
        <v>95557.557333333243</v>
      </c>
      <c r="AH29" s="58">
        <f t="shared" si="15"/>
        <v>96767.146666666551</v>
      </c>
      <c r="AI29" s="58">
        <f t="shared" si="15"/>
        <v>97976.735999999903</v>
      </c>
      <c r="AJ29" s="58">
        <f t="shared" si="15"/>
        <v>99186.325333333225</v>
      </c>
      <c r="AK29" s="58">
        <f t="shared" si="15"/>
        <v>100395.91466666655</v>
      </c>
      <c r="AL29" s="58">
        <f t="shared" si="15"/>
        <v>101605.50399999988</v>
      </c>
    </row>
    <row r="30" spans="1:42" x14ac:dyDescent="0.35">
      <c r="A30" s="33" t="s">
        <v>155</v>
      </c>
      <c r="B30" s="34" t="s">
        <v>144</v>
      </c>
      <c r="C30" s="58">
        <f t="shared" ref="C30:AL30" si="16">C18*_xlfn.XLOOKUP($A30,A_DeptNames,A_DeptSal)*C$25*A_Load/12</f>
        <v>96875.625000000015</v>
      </c>
      <c r="D30" s="58">
        <f t="shared" si="16"/>
        <v>99811.250000000015</v>
      </c>
      <c r="E30" s="58">
        <f t="shared" si="16"/>
        <v>102746.87500000001</v>
      </c>
      <c r="F30" s="58">
        <f t="shared" si="16"/>
        <v>105682.50000000001</v>
      </c>
      <c r="G30" s="58">
        <f t="shared" si="16"/>
        <v>108618.12500000001</v>
      </c>
      <c r="H30" s="58">
        <f t="shared" si="16"/>
        <v>111553.75000000001</v>
      </c>
      <c r="I30" s="58">
        <f t="shared" si="16"/>
        <v>114489.37500000001</v>
      </c>
      <c r="J30" s="58">
        <f t="shared" si="16"/>
        <v>117425.00000000001</v>
      </c>
      <c r="K30" s="58">
        <f t="shared" si="16"/>
        <v>120360.62500000001</v>
      </c>
      <c r="L30" s="58">
        <f t="shared" si="16"/>
        <v>123296.25000000001</v>
      </c>
      <c r="M30" s="58">
        <f t="shared" si="16"/>
        <v>126231.87500000001</v>
      </c>
      <c r="N30" s="58">
        <f t="shared" si="16"/>
        <v>129167.50000000004</v>
      </c>
      <c r="O30" s="58">
        <f t="shared" si="16"/>
        <v>137387.25000000003</v>
      </c>
      <c r="P30" s="58">
        <f t="shared" si="16"/>
        <v>140440.30000000002</v>
      </c>
      <c r="Q30" s="58">
        <f t="shared" si="16"/>
        <v>143493.35000000003</v>
      </c>
      <c r="R30" s="58">
        <f t="shared" si="16"/>
        <v>146546.40000000005</v>
      </c>
      <c r="S30" s="58">
        <f t="shared" si="16"/>
        <v>149599.45000000004</v>
      </c>
      <c r="T30" s="58">
        <f t="shared" si="16"/>
        <v>152652.50000000003</v>
      </c>
      <c r="U30" s="58">
        <f t="shared" si="16"/>
        <v>155705.55000000002</v>
      </c>
      <c r="V30" s="58">
        <f t="shared" si="16"/>
        <v>158758.60000000003</v>
      </c>
      <c r="W30" s="58">
        <f t="shared" si="16"/>
        <v>161811.65000000005</v>
      </c>
      <c r="X30" s="58">
        <f t="shared" si="16"/>
        <v>164864.70000000004</v>
      </c>
      <c r="Y30" s="58">
        <f t="shared" si="16"/>
        <v>167917.75000000003</v>
      </c>
      <c r="Z30" s="58">
        <f t="shared" si="16"/>
        <v>170970.80000000005</v>
      </c>
      <c r="AA30" s="58">
        <f t="shared" si="16"/>
        <v>180984.80400000009</v>
      </c>
      <c r="AB30" s="58">
        <f t="shared" si="16"/>
        <v>184159.97600000005</v>
      </c>
      <c r="AC30" s="58">
        <f t="shared" si="16"/>
        <v>187335.14800000007</v>
      </c>
      <c r="AD30" s="58">
        <f t="shared" si="16"/>
        <v>190510.32000000007</v>
      </c>
      <c r="AE30" s="58">
        <f t="shared" si="16"/>
        <v>193685.49200000009</v>
      </c>
      <c r="AF30" s="58">
        <f t="shared" si="16"/>
        <v>196860.66400000008</v>
      </c>
      <c r="AG30" s="58">
        <f t="shared" si="16"/>
        <v>200035.8360000001</v>
      </c>
      <c r="AH30" s="58">
        <f t="shared" si="16"/>
        <v>203211.00800000006</v>
      </c>
      <c r="AI30" s="58">
        <f t="shared" si="16"/>
        <v>206386.18000000008</v>
      </c>
      <c r="AJ30" s="58">
        <f t="shared" si="16"/>
        <v>209561.35200000007</v>
      </c>
      <c r="AK30" s="58">
        <f t="shared" si="16"/>
        <v>212736.52400000009</v>
      </c>
      <c r="AL30" s="58">
        <f t="shared" si="16"/>
        <v>215911.69600000008</v>
      </c>
    </row>
    <row r="31" spans="1:42" x14ac:dyDescent="0.35">
      <c r="A31" s="33" t="s">
        <v>156</v>
      </c>
      <c r="B31" s="34" t="s">
        <v>144</v>
      </c>
      <c r="C31" s="58">
        <f t="shared" ref="C31:AL31" si="17">C19*_xlfn.XLOOKUP($A31,A_DeptNames,A_DeptSal)*C$25*A_Load/12</f>
        <v>42012.055555555562</v>
      </c>
      <c r="D31" s="58">
        <f t="shared" si="17"/>
        <v>42869.444444444445</v>
      </c>
      <c r="E31" s="58">
        <f t="shared" si="17"/>
        <v>43726.833333333336</v>
      </c>
      <c r="F31" s="58">
        <f t="shared" si="17"/>
        <v>44584.222222222219</v>
      </c>
      <c r="G31" s="58">
        <f t="shared" si="17"/>
        <v>45441.611111111102</v>
      </c>
      <c r="H31" s="58">
        <f t="shared" si="17"/>
        <v>46298.999999999993</v>
      </c>
      <c r="I31" s="58">
        <f t="shared" si="17"/>
        <v>47156.388888888876</v>
      </c>
      <c r="J31" s="58">
        <f t="shared" si="17"/>
        <v>48013.777777777774</v>
      </c>
      <c r="K31" s="58">
        <f t="shared" si="17"/>
        <v>48871.16666666665</v>
      </c>
      <c r="L31" s="58">
        <f t="shared" si="17"/>
        <v>49728.555555555533</v>
      </c>
      <c r="M31" s="58">
        <f t="shared" si="17"/>
        <v>50585.944444444416</v>
      </c>
      <c r="N31" s="58">
        <f t="shared" si="17"/>
        <v>51443.333333333307</v>
      </c>
      <c r="O31" s="58">
        <f t="shared" si="17"/>
        <v>54392.751111111087</v>
      </c>
      <c r="P31" s="58">
        <f t="shared" si="17"/>
        <v>55284.43555555553</v>
      </c>
      <c r="Q31" s="58">
        <f t="shared" si="17"/>
        <v>56176.119999999966</v>
      </c>
      <c r="R31" s="58">
        <f t="shared" si="17"/>
        <v>57067.804444444417</v>
      </c>
      <c r="S31" s="58">
        <f t="shared" si="17"/>
        <v>57959.488888888845</v>
      </c>
      <c r="T31" s="58">
        <f t="shared" si="17"/>
        <v>58851.173333333289</v>
      </c>
      <c r="U31" s="58">
        <f t="shared" si="17"/>
        <v>59742.857777777732</v>
      </c>
      <c r="V31" s="58">
        <f t="shared" si="17"/>
        <v>60634.542222222175</v>
      </c>
      <c r="W31" s="58">
        <f t="shared" si="17"/>
        <v>61526.226666666618</v>
      </c>
      <c r="X31" s="58">
        <f t="shared" si="17"/>
        <v>62417.911111111054</v>
      </c>
      <c r="Y31" s="58">
        <f t="shared" si="17"/>
        <v>63309.595555555505</v>
      </c>
      <c r="Z31" s="58">
        <f t="shared" si="17"/>
        <v>64201.279999999941</v>
      </c>
      <c r="AA31" s="58">
        <f t="shared" si="17"/>
        <v>67696.683022222162</v>
      </c>
      <c r="AB31" s="58">
        <f t="shared" si="17"/>
        <v>68624.034844444381</v>
      </c>
      <c r="AC31" s="58">
        <f t="shared" si="17"/>
        <v>69551.3866666666</v>
      </c>
      <c r="AD31" s="58">
        <f t="shared" si="17"/>
        <v>70478.738488888819</v>
      </c>
      <c r="AE31" s="58">
        <f t="shared" si="17"/>
        <v>71406.090311111038</v>
      </c>
      <c r="AF31" s="58">
        <f t="shared" si="17"/>
        <v>72333.442133333258</v>
      </c>
      <c r="AG31" s="58">
        <f t="shared" si="17"/>
        <v>73260.793955555477</v>
      </c>
      <c r="AH31" s="58">
        <f t="shared" si="17"/>
        <v>74188.145777777696</v>
      </c>
      <c r="AI31" s="58">
        <f t="shared" si="17"/>
        <v>75115.497599999901</v>
      </c>
      <c r="AJ31" s="58">
        <f t="shared" si="17"/>
        <v>76042.849422222134</v>
      </c>
      <c r="AK31" s="58">
        <f t="shared" si="17"/>
        <v>76970.201244444354</v>
      </c>
      <c r="AL31" s="58">
        <f t="shared" si="17"/>
        <v>77897.553066666587</v>
      </c>
    </row>
    <row r="32" spans="1:42" x14ac:dyDescent="0.35">
      <c r="A32" s="33" t="s">
        <v>157</v>
      </c>
      <c r="B32" s="34" t="s">
        <v>144</v>
      </c>
      <c r="C32" s="58">
        <f t="shared" ref="C32:AL32" si="18">C20*_xlfn.XLOOKUP($A32,A_DeptNames,A_DeptSal)*C$25*A_Load/12</f>
        <v>62514.833333333343</v>
      </c>
      <c r="D32" s="58">
        <f t="shared" si="18"/>
        <v>63968.666666666679</v>
      </c>
      <c r="E32" s="58">
        <f t="shared" si="18"/>
        <v>65422.500000000029</v>
      </c>
      <c r="F32" s="58">
        <f t="shared" si="18"/>
        <v>66876.333333333358</v>
      </c>
      <c r="G32" s="58">
        <f t="shared" si="18"/>
        <v>68330.166666666701</v>
      </c>
      <c r="H32" s="58">
        <f t="shared" si="18"/>
        <v>69784.000000000029</v>
      </c>
      <c r="I32" s="58">
        <f t="shared" si="18"/>
        <v>71237.833333333358</v>
      </c>
      <c r="J32" s="58">
        <f t="shared" si="18"/>
        <v>72691.666666666686</v>
      </c>
      <c r="K32" s="58">
        <f t="shared" si="18"/>
        <v>74145.500000000015</v>
      </c>
      <c r="L32" s="58">
        <f t="shared" si="18"/>
        <v>75599.333333333358</v>
      </c>
      <c r="M32" s="58">
        <f t="shared" si="18"/>
        <v>77053.166666666672</v>
      </c>
      <c r="N32" s="58">
        <f t="shared" si="18"/>
        <v>78507</v>
      </c>
      <c r="O32" s="58">
        <f t="shared" si="18"/>
        <v>83915.260000000009</v>
      </c>
      <c r="P32" s="58">
        <f t="shared" si="18"/>
        <v>86183.24</v>
      </c>
      <c r="Q32" s="58">
        <f t="shared" si="18"/>
        <v>88451.220000000016</v>
      </c>
      <c r="R32" s="58">
        <f t="shared" si="18"/>
        <v>90719.200000000012</v>
      </c>
      <c r="S32" s="58">
        <f t="shared" si="18"/>
        <v>92987.180000000008</v>
      </c>
      <c r="T32" s="58">
        <f t="shared" si="18"/>
        <v>95255.160000000018</v>
      </c>
      <c r="U32" s="58">
        <f t="shared" si="18"/>
        <v>97523.140000000014</v>
      </c>
      <c r="V32" s="58">
        <f t="shared" si="18"/>
        <v>99791.12000000001</v>
      </c>
      <c r="W32" s="58">
        <f t="shared" si="18"/>
        <v>102059.10000000002</v>
      </c>
      <c r="X32" s="58">
        <f t="shared" si="18"/>
        <v>104327.08000000002</v>
      </c>
      <c r="Y32" s="58">
        <f t="shared" si="18"/>
        <v>106595.06000000001</v>
      </c>
      <c r="Z32" s="58">
        <f t="shared" si="18"/>
        <v>108863.04000000002</v>
      </c>
      <c r="AA32" s="58">
        <f t="shared" si="18"/>
        <v>115576.26080000003</v>
      </c>
      <c r="AB32" s="58">
        <f t="shared" si="18"/>
        <v>117934.96000000002</v>
      </c>
      <c r="AC32" s="58">
        <f t="shared" si="18"/>
        <v>120293.65920000001</v>
      </c>
      <c r="AD32" s="58">
        <f t="shared" si="18"/>
        <v>122652.35840000003</v>
      </c>
      <c r="AE32" s="58">
        <f t="shared" si="18"/>
        <v>125011.05760000004</v>
      </c>
      <c r="AF32" s="58">
        <f t="shared" si="18"/>
        <v>127369.75680000002</v>
      </c>
      <c r="AG32" s="58">
        <f t="shared" si="18"/>
        <v>129728.45600000001</v>
      </c>
      <c r="AH32" s="58">
        <f t="shared" si="18"/>
        <v>132087.15520000001</v>
      </c>
      <c r="AI32" s="58">
        <f t="shared" si="18"/>
        <v>134445.85440000001</v>
      </c>
      <c r="AJ32" s="58">
        <f t="shared" si="18"/>
        <v>136804.55360000001</v>
      </c>
      <c r="AK32" s="58">
        <f t="shared" si="18"/>
        <v>139163.25280000002</v>
      </c>
      <c r="AL32" s="58">
        <f t="shared" si="18"/>
        <v>141521.95200000002</v>
      </c>
    </row>
    <row r="33" spans="1:38" x14ac:dyDescent="0.35">
      <c r="A33" s="33" t="s">
        <v>158</v>
      </c>
      <c r="B33" s="34" t="s">
        <v>144</v>
      </c>
      <c r="C33" s="58">
        <f t="shared" ref="C33:AL33" si="19">C21*_xlfn.XLOOKUP($A33,A_DeptNames,A_DeptSal)*C$25*A_Load/12</f>
        <v>56848.611111111124</v>
      </c>
      <c r="D33" s="58">
        <f t="shared" si="19"/>
        <v>57780.555555555562</v>
      </c>
      <c r="E33" s="58">
        <f t="shared" si="19"/>
        <v>58712.5</v>
      </c>
      <c r="F33" s="58">
        <f t="shared" si="19"/>
        <v>59644.444444444445</v>
      </c>
      <c r="G33" s="58">
        <f t="shared" si="19"/>
        <v>60576.388888888883</v>
      </c>
      <c r="H33" s="58">
        <f t="shared" si="19"/>
        <v>61508.333333333321</v>
      </c>
      <c r="I33" s="58">
        <f t="shared" si="19"/>
        <v>62440.277777777774</v>
      </c>
      <c r="J33" s="58">
        <f t="shared" si="19"/>
        <v>63372.222222222212</v>
      </c>
      <c r="K33" s="58">
        <f t="shared" si="19"/>
        <v>64304.166666666657</v>
      </c>
      <c r="L33" s="58">
        <f t="shared" si="19"/>
        <v>65236.111111111095</v>
      </c>
      <c r="M33" s="58">
        <f t="shared" si="19"/>
        <v>66168.055555555547</v>
      </c>
      <c r="N33" s="58">
        <f t="shared" si="19"/>
        <v>67099.999999999985</v>
      </c>
      <c r="O33" s="58">
        <f t="shared" si="19"/>
        <v>70753.222222222204</v>
      </c>
      <c r="P33" s="58">
        <f t="shared" si="19"/>
        <v>71722.444444444409</v>
      </c>
      <c r="Q33" s="58">
        <f t="shared" si="19"/>
        <v>72691.666666666628</v>
      </c>
      <c r="R33" s="58">
        <f t="shared" si="19"/>
        <v>73660.888888888861</v>
      </c>
      <c r="S33" s="58">
        <f t="shared" si="19"/>
        <v>74630.111111111066</v>
      </c>
      <c r="T33" s="58">
        <f t="shared" si="19"/>
        <v>75599.333333333285</v>
      </c>
      <c r="U33" s="58">
        <f t="shared" si="19"/>
        <v>76568.555555555518</v>
      </c>
      <c r="V33" s="58">
        <f t="shared" si="19"/>
        <v>77537.777777777723</v>
      </c>
      <c r="W33" s="58">
        <f t="shared" si="19"/>
        <v>78506.999999999956</v>
      </c>
      <c r="X33" s="58">
        <f t="shared" si="19"/>
        <v>79476.222222222175</v>
      </c>
      <c r="Y33" s="58">
        <f t="shared" si="19"/>
        <v>80445.44444444438</v>
      </c>
      <c r="Z33" s="58">
        <f t="shared" si="19"/>
        <v>81414.666666666613</v>
      </c>
      <c r="AA33" s="58">
        <f t="shared" si="19"/>
        <v>85679.244444444383</v>
      </c>
      <c r="AB33" s="58">
        <f t="shared" si="19"/>
        <v>86687.235555555497</v>
      </c>
      <c r="AC33" s="58">
        <f t="shared" si="19"/>
        <v>87695.226666666582</v>
      </c>
      <c r="AD33" s="58">
        <f t="shared" si="19"/>
        <v>88703.217777777711</v>
      </c>
      <c r="AE33" s="58">
        <f t="shared" si="19"/>
        <v>89711.20888888881</v>
      </c>
      <c r="AF33" s="58">
        <f t="shared" si="19"/>
        <v>90719.19999999991</v>
      </c>
      <c r="AG33" s="58">
        <f t="shared" si="19"/>
        <v>91727.191111111024</v>
      </c>
      <c r="AH33" s="58">
        <f t="shared" si="19"/>
        <v>92735.182222222138</v>
      </c>
      <c r="AI33" s="58">
        <f t="shared" si="19"/>
        <v>93743.173333333238</v>
      </c>
      <c r="AJ33" s="58">
        <f t="shared" si="19"/>
        <v>94751.164444444352</v>
      </c>
      <c r="AK33" s="58">
        <f t="shared" si="19"/>
        <v>95759.155555555466</v>
      </c>
      <c r="AL33" s="58">
        <f t="shared" si="19"/>
        <v>96767.146666666566</v>
      </c>
    </row>
    <row r="34" spans="1:38" x14ac:dyDescent="0.35">
      <c r="A34" s="59" t="s">
        <v>237</v>
      </c>
      <c r="B34" s="60" t="s">
        <v>144</v>
      </c>
      <c r="C34" s="61">
        <f t="shared" ref="C34:AL34" si="20">SUM(C28:C33)</f>
        <v>492355.5694444445</v>
      </c>
      <c r="D34" s="61">
        <f t="shared" si="20"/>
        <v>504498.80555555568</v>
      </c>
      <c r="E34" s="61">
        <f t="shared" si="20"/>
        <v>516642.04166666674</v>
      </c>
      <c r="F34" s="61">
        <f t="shared" si="20"/>
        <v>528785.27777777798</v>
      </c>
      <c r="G34" s="61">
        <f t="shared" si="20"/>
        <v>540928.51388888899</v>
      </c>
      <c r="H34" s="61">
        <f t="shared" si="20"/>
        <v>553071.75000000012</v>
      </c>
      <c r="I34" s="61">
        <f t="shared" si="20"/>
        <v>565214.98611111124</v>
      </c>
      <c r="J34" s="61">
        <f t="shared" si="20"/>
        <v>577358.22222222225</v>
      </c>
      <c r="K34" s="61">
        <f t="shared" si="20"/>
        <v>589501.45833333337</v>
      </c>
      <c r="L34" s="61">
        <f t="shared" si="20"/>
        <v>601644.69444444461</v>
      </c>
      <c r="M34" s="61">
        <f t="shared" si="20"/>
        <v>613787.93055555562</v>
      </c>
      <c r="N34" s="61">
        <f t="shared" si="20"/>
        <v>625931.16666666674</v>
      </c>
      <c r="O34" s="61">
        <f t="shared" si="20"/>
        <v>663093.38333333354</v>
      </c>
      <c r="P34" s="61">
        <f t="shared" si="20"/>
        <v>675218.35333333339</v>
      </c>
      <c r="Q34" s="61">
        <f t="shared" si="20"/>
        <v>687343.32333333336</v>
      </c>
      <c r="R34" s="61">
        <f t="shared" si="20"/>
        <v>699468.29333333333</v>
      </c>
      <c r="S34" s="61">
        <f t="shared" si="20"/>
        <v>711593.26333333342</v>
      </c>
      <c r="T34" s="61">
        <f t="shared" si="20"/>
        <v>723718.2333333334</v>
      </c>
      <c r="U34" s="61">
        <f t="shared" si="20"/>
        <v>735843.20333333337</v>
      </c>
      <c r="V34" s="61">
        <f t="shared" si="20"/>
        <v>747968.17333333334</v>
      </c>
      <c r="W34" s="61">
        <f t="shared" si="20"/>
        <v>760093.14333333331</v>
      </c>
      <c r="X34" s="61">
        <f t="shared" si="20"/>
        <v>772218.1133333334</v>
      </c>
      <c r="Y34" s="61">
        <f t="shared" si="20"/>
        <v>784343.08333333349</v>
      </c>
      <c r="Z34" s="61">
        <f t="shared" si="20"/>
        <v>796468.05333333346</v>
      </c>
      <c r="AA34" s="61">
        <f t="shared" si="20"/>
        <v>840936.74426666682</v>
      </c>
      <c r="AB34" s="61">
        <f t="shared" si="20"/>
        <v>853546.71306666662</v>
      </c>
      <c r="AC34" s="61">
        <f t="shared" si="20"/>
        <v>866156.68186666665</v>
      </c>
      <c r="AD34" s="61">
        <f t="shared" si="20"/>
        <v>878766.65066666668</v>
      </c>
      <c r="AE34" s="61">
        <f t="shared" si="20"/>
        <v>891376.61946666683</v>
      </c>
      <c r="AF34" s="61">
        <f t="shared" si="20"/>
        <v>903986.58826666675</v>
      </c>
      <c r="AG34" s="61">
        <f t="shared" si="20"/>
        <v>916596.55706666689</v>
      </c>
      <c r="AH34" s="61">
        <f t="shared" si="20"/>
        <v>929206.52586666658</v>
      </c>
      <c r="AI34" s="61">
        <f t="shared" si="20"/>
        <v>941816.49466666661</v>
      </c>
      <c r="AJ34" s="61">
        <f t="shared" si="20"/>
        <v>954426.46346666664</v>
      </c>
      <c r="AK34" s="61">
        <f t="shared" si="20"/>
        <v>967036.43226666679</v>
      </c>
      <c r="AL34" s="61">
        <f t="shared" si="20"/>
        <v>979646.40106666682</v>
      </c>
    </row>
    <row r="36" spans="1:38" ht="24" customHeight="1" x14ac:dyDescent="0.35">
      <c r="A36" s="64" t="s">
        <v>238</v>
      </c>
    </row>
  </sheetData>
  <hyperlinks>
    <hyperlink ref="E1" r:id="rId1" location="Cover!A1" xr:uid="{00000000-0004-0000-0500-000000000000}"/>
  </hyperlinks>
  <pageMargins left="0.75" right="0.75" top="1" bottom="1" header="0.5" footer="0.5"/>
  <pageSetup fitToHeight="0" orientation="landscape" horizontalDpi="300" verticalDpi="300"/>
  <headerFooter>
    <oddHeader>&amp;LNovaFlow Analytics&amp;RHeadcount</oddHeader>
    <oddFooter>&amp;LFP&amp;&amp;A Planning Model v1.0&amp;CConfidential&amp;RPage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F8FAF"/>
    <pageSetUpPr fitToPage="1"/>
  </sheetPr>
  <dimension ref="A1:AP39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1" width="36" customWidth="1"/>
    <col min="2" max="2" width="9" customWidth="1"/>
    <col min="3" max="38" width="11.453125" customWidth="1"/>
    <col min="39" max="39" width="2" customWidth="1"/>
    <col min="40" max="42" width="13.453125" customWidth="1"/>
  </cols>
  <sheetData>
    <row r="1" spans="1:42" ht="13.5" customHeight="1" x14ac:dyDescent="0.35">
      <c r="A1" s="13" t="s">
        <v>0</v>
      </c>
      <c r="B1" s="14"/>
      <c r="C1" s="14"/>
      <c r="D1" s="14"/>
      <c r="E1" s="15" t="s">
        <v>34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 spans="1:42" ht="21.75" customHeight="1" x14ac:dyDescent="0.45">
      <c r="A2" s="16" t="s">
        <v>20</v>
      </c>
      <c r="B2" s="14"/>
      <c r="C2" s="14"/>
      <c r="D2" s="14"/>
      <c r="E2" s="17" t="s">
        <v>239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ht="3.75" customHeigh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</row>
    <row r="5" spans="1:42" x14ac:dyDescent="0.35">
      <c r="A5" s="54" t="s">
        <v>198</v>
      </c>
      <c r="C5" s="55">
        <f>ModelStart</f>
        <v>46023</v>
      </c>
      <c r="D5" s="55">
        <f t="shared" ref="D5:AL5" si="0">EDATE(C5,1)</f>
        <v>46054</v>
      </c>
      <c r="E5" s="55">
        <f t="shared" si="0"/>
        <v>46082</v>
      </c>
      <c r="F5" s="55">
        <f t="shared" si="0"/>
        <v>46113</v>
      </c>
      <c r="G5" s="55">
        <f t="shared" si="0"/>
        <v>46143</v>
      </c>
      <c r="H5" s="55">
        <f t="shared" si="0"/>
        <v>46174</v>
      </c>
      <c r="I5" s="55">
        <f t="shared" si="0"/>
        <v>46204</v>
      </c>
      <c r="J5" s="55">
        <f t="shared" si="0"/>
        <v>46235</v>
      </c>
      <c r="K5" s="55">
        <f t="shared" si="0"/>
        <v>46266</v>
      </c>
      <c r="L5" s="55">
        <f t="shared" si="0"/>
        <v>46296</v>
      </c>
      <c r="M5" s="55">
        <f t="shared" si="0"/>
        <v>46327</v>
      </c>
      <c r="N5" s="55">
        <f t="shared" si="0"/>
        <v>46357</v>
      </c>
      <c r="O5" s="55">
        <f t="shared" si="0"/>
        <v>46388</v>
      </c>
      <c r="P5" s="55">
        <f t="shared" si="0"/>
        <v>46419</v>
      </c>
      <c r="Q5" s="55">
        <f t="shared" si="0"/>
        <v>46447</v>
      </c>
      <c r="R5" s="55">
        <f t="shared" si="0"/>
        <v>46478</v>
      </c>
      <c r="S5" s="55">
        <f t="shared" si="0"/>
        <v>46508</v>
      </c>
      <c r="T5" s="55">
        <f t="shared" si="0"/>
        <v>46539</v>
      </c>
      <c r="U5" s="55">
        <f t="shared" si="0"/>
        <v>46569</v>
      </c>
      <c r="V5" s="55">
        <f t="shared" si="0"/>
        <v>46600</v>
      </c>
      <c r="W5" s="55">
        <f t="shared" si="0"/>
        <v>46631</v>
      </c>
      <c r="X5" s="55">
        <f t="shared" si="0"/>
        <v>46661</v>
      </c>
      <c r="Y5" s="55">
        <f t="shared" si="0"/>
        <v>46692</v>
      </c>
      <c r="Z5" s="55">
        <f t="shared" si="0"/>
        <v>46722</v>
      </c>
      <c r="AA5" s="55">
        <f t="shared" si="0"/>
        <v>46753</v>
      </c>
      <c r="AB5" s="55">
        <f t="shared" si="0"/>
        <v>46784</v>
      </c>
      <c r="AC5" s="55">
        <f t="shared" si="0"/>
        <v>46813</v>
      </c>
      <c r="AD5" s="55">
        <f t="shared" si="0"/>
        <v>46844</v>
      </c>
      <c r="AE5" s="55">
        <f t="shared" si="0"/>
        <v>46874</v>
      </c>
      <c r="AF5" s="55">
        <f t="shared" si="0"/>
        <v>46905</v>
      </c>
      <c r="AG5" s="55">
        <f t="shared" si="0"/>
        <v>46935</v>
      </c>
      <c r="AH5" s="55">
        <f t="shared" si="0"/>
        <v>46966</v>
      </c>
      <c r="AI5" s="55">
        <f t="shared" si="0"/>
        <v>46997</v>
      </c>
      <c r="AJ5" s="55">
        <f t="shared" si="0"/>
        <v>47027</v>
      </c>
      <c r="AK5" s="55">
        <f t="shared" si="0"/>
        <v>47058</v>
      </c>
      <c r="AL5" s="55">
        <f t="shared" si="0"/>
        <v>47088</v>
      </c>
    </row>
    <row r="7" spans="1:42" x14ac:dyDescent="0.35">
      <c r="A7" s="31" t="s">
        <v>240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</row>
    <row r="8" spans="1:42" x14ac:dyDescent="0.35">
      <c r="A8" s="33" t="s">
        <v>110</v>
      </c>
      <c r="B8" s="34" t="s">
        <v>144</v>
      </c>
      <c r="C8" s="67">
        <f>A_HostPct*'Revenue Model'!C36</f>
        <v>32226.84</v>
      </c>
      <c r="D8" s="67">
        <f>A_HostPct*'Revenue Model'!D36</f>
        <v>34489.957049142104</v>
      </c>
      <c r="E8" s="67">
        <f>A_HostPct*'Revenue Model'!E36</f>
        <v>36759.461379665801</v>
      </c>
      <c r="F8" s="67">
        <f>A_HostPct*'Revenue Model'!F36</f>
        <v>39035.463271183486</v>
      </c>
      <c r="G8" s="67">
        <f>A_HostPct*'Revenue Model'!G36</f>
        <v>41318.073055363384</v>
      </c>
      <c r="H8" s="67">
        <f>A_HostPct*'Revenue Model'!H36</f>
        <v>43607.4011206016</v>
      </c>
      <c r="I8" s="67">
        <f>A_HostPct*'Revenue Model'!I36</f>
        <v>45903.55791668372</v>
      </c>
      <c r="J8" s="67">
        <f>A_HostPct*'Revenue Model'!J36</f>
        <v>48206.653959435942</v>
      </c>
      <c r="K8" s="67">
        <f>A_HostPct*'Revenue Model'!K36</f>
        <v>50516.799835366197</v>
      </c>
      <c r="L8" s="67">
        <f>A_HostPct*'Revenue Model'!L36</f>
        <v>52834.106206295233</v>
      </c>
      <c r="M8" s="67">
        <f>A_HostPct*'Revenue Model'!M36</f>
        <v>55158.683813978183</v>
      </c>
      <c r="N8" s="67">
        <f>A_HostPct*'Revenue Model'!N36</f>
        <v>57490.643484716507</v>
      </c>
      <c r="O8" s="67">
        <f>A_HostPct*'Revenue Model'!O36</f>
        <v>59830.096133960826</v>
      </c>
      <c r="P8" s="67">
        <f>A_HostPct*'Revenue Model'!P36</f>
        <v>62177.152770904577</v>
      </c>
      <c r="Q8" s="67">
        <f>A_HostPct*'Revenue Model'!Q36</f>
        <v>64531.924503069036</v>
      </c>
      <c r="R8" s="67">
        <f>A_HostPct*'Revenue Model'!R36</f>
        <v>66894.522540879596</v>
      </c>
      <c r="S8" s="67">
        <f>A_HostPct*'Revenue Model'!S36</f>
        <v>69265.058202233646</v>
      </c>
      <c r="T8" s="67">
        <f>A_HostPct*'Revenue Model'!T36</f>
        <v>71643.642917060512</v>
      </c>
      <c r="U8" s="67">
        <f>A_HostPct*'Revenue Model'!U36</f>
        <v>74030.388231873076</v>
      </c>
      <c r="V8" s="67">
        <f>A_HostPct*'Revenue Model'!V36</f>
        <v>76425.405814311962</v>
      </c>
      <c r="W8" s="67">
        <f>A_HostPct*'Revenue Model'!W36</f>
        <v>78828.807457681993</v>
      </c>
      <c r="X8" s="67">
        <f>A_HostPct*'Revenue Model'!X36</f>
        <v>81240.70508548143</v>
      </c>
      <c r="Y8" s="67">
        <f>A_HostPct*'Revenue Model'!Y36</f>
        <v>83661.210755923981</v>
      </c>
      <c r="Z8" s="67">
        <f>A_HostPct*'Revenue Model'!Z36</f>
        <v>86090.436666453999</v>
      </c>
      <c r="AA8" s="67">
        <f>A_HostPct*'Revenue Model'!AA36</f>
        <v>88528.49515825494</v>
      </c>
      <c r="AB8" s="67">
        <f>A_HostPct*'Revenue Model'!AB36</f>
        <v>90975.498720751246</v>
      </c>
      <c r="AC8" s="67">
        <f>A_HostPct*'Revenue Model'!AC36</f>
        <v>93431.559996103999</v>
      </c>
      <c r="AD8" s="67">
        <f>A_HostPct*'Revenue Model'!AD36</f>
        <v>95896.791783700552</v>
      </c>
      <c r="AE8" s="67">
        <f>A_HostPct*'Revenue Model'!AE36</f>
        <v>98371.307044638044</v>
      </c>
      <c r="AF8" s="67">
        <f>A_HostPct*'Revenue Model'!AF36</f>
        <v>100855.21890620151</v>
      </c>
      <c r="AG8" s="67">
        <f>A_HostPct*'Revenue Model'!AG36</f>
        <v>103348.64066633626</v>
      </c>
      <c r="AH8" s="67">
        <f>A_HostPct*'Revenue Model'!AH36</f>
        <v>105851.68579811507</v>
      </c>
      <c r="AI8" s="67">
        <f>A_HostPct*'Revenue Model'!AI36</f>
        <v>108364.46795420037</v>
      </c>
      <c r="AJ8" s="67">
        <f>A_HostPct*'Revenue Model'!AJ36</f>
        <v>110887.10097130136</v>
      </c>
      <c r="AK8" s="67">
        <f>A_HostPct*'Revenue Model'!AK36</f>
        <v>113419.69887462653</v>
      </c>
      <c r="AL8" s="67">
        <f>A_HostPct*'Revenue Model'!AL36</f>
        <v>115962.37588233179</v>
      </c>
    </row>
    <row r="9" spans="1:42" x14ac:dyDescent="0.35">
      <c r="A9" s="33" t="s">
        <v>241</v>
      </c>
      <c r="B9" s="34" t="s">
        <v>144</v>
      </c>
      <c r="C9" s="67">
        <f>A_CSCogs*Headcount!C32</f>
        <v>37508.9</v>
      </c>
      <c r="D9" s="67">
        <f>A_CSCogs*Headcount!D32</f>
        <v>38381.200000000004</v>
      </c>
      <c r="E9" s="67">
        <f>A_CSCogs*Headcount!E32</f>
        <v>39253.500000000015</v>
      </c>
      <c r="F9" s="67">
        <f>A_CSCogs*Headcount!F32</f>
        <v>40125.80000000001</v>
      </c>
      <c r="G9" s="67">
        <f>A_CSCogs*Headcount!G32</f>
        <v>40998.10000000002</v>
      </c>
      <c r="H9" s="67">
        <f>A_CSCogs*Headcount!H32</f>
        <v>41870.400000000016</v>
      </c>
      <c r="I9" s="67">
        <f>A_CSCogs*Headcount!I32</f>
        <v>42742.700000000012</v>
      </c>
      <c r="J9" s="67">
        <f>A_CSCogs*Headcount!J32</f>
        <v>43615.000000000007</v>
      </c>
      <c r="K9" s="67">
        <f>A_CSCogs*Headcount!K32</f>
        <v>44487.30000000001</v>
      </c>
      <c r="L9" s="67">
        <f>A_CSCogs*Headcount!L32</f>
        <v>45359.600000000013</v>
      </c>
      <c r="M9" s="67">
        <f>A_CSCogs*Headcount!M32</f>
        <v>46231.9</v>
      </c>
      <c r="N9" s="67">
        <f>A_CSCogs*Headcount!N32</f>
        <v>47104.2</v>
      </c>
      <c r="O9" s="67">
        <f>A_CSCogs*Headcount!O32</f>
        <v>50349.156000000003</v>
      </c>
      <c r="P9" s="67">
        <f>A_CSCogs*Headcount!P32</f>
        <v>51709.944000000003</v>
      </c>
      <c r="Q9" s="67">
        <f>A_CSCogs*Headcount!Q32</f>
        <v>53070.732000000011</v>
      </c>
      <c r="R9" s="67">
        <f>A_CSCogs*Headcount!R32</f>
        <v>54431.520000000004</v>
      </c>
      <c r="S9" s="67">
        <f>A_CSCogs*Headcount!S32</f>
        <v>55792.308000000005</v>
      </c>
      <c r="T9" s="67">
        <f>A_CSCogs*Headcount!T32</f>
        <v>57153.096000000012</v>
      </c>
      <c r="U9" s="67">
        <f>A_CSCogs*Headcount!U32</f>
        <v>58513.884000000005</v>
      </c>
      <c r="V9" s="67">
        <f>A_CSCogs*Headcount!V32</f>
        <v>59874.672000000006</v>
      </c>
      <c r="W9" s="67">
        <f>A_CSCogs*Headcount!W32</f>
        <v>61235.460000000006</v>
      </c>
      <c r="X9" s="67">
        <f>A_CSCogs*Headcount!X32</f>
        <v>62596.248000000007</v>
      </c>
      <c r="Y9" s="67">
        <f>A_CSCogs*Headcount!Y32</f>
        <v>63957.036000000007</v>
      </c>
      <c r="Z9" s="67">
        <f>A_CSCogs*Headcount!Z32</f>
        <v>65317.824000000008</v>
      </c>
      <c r="AA9" s="67">
        <f>A_CSCogs*Headcount!AA32</f>
        <v>69345.756480000011</v>
      </c>
      <c r="AB9" s="67">
        <f>A_CSCogs*Headcount!AB32</f>
        <v>70760.97600000001</v>
      </c>
      <c r="AC9" s="67">
        <f>A_CSCogs*Headcount!AC32</f>
        <v>72176.195520000008</v>
      </c>
      <c r="AD9" s="67">
        <f>A_CSCogs*Headcount!AD32</f>
        <v>73591.415040000007</v>
      </c>
      <c r="AE9" s="67">
        <f>A_CSCogs*Headcount!AE32</f>
        <v>75006.63456000002</v>
      </c>
      <c r="AF9" s="67">
        <f>A_CSCogs*Headcount!AF32</f>
        <v>76421.854080000005</v>
      </c>
      <c r="AG9" s="67">
        <f>A_CSCogs*Headcount!AG32</f>
        <v>77837.073600000003</v>
      </c>
      <c r="AH9" s="67">
        <f>A_CSCogs*Headcount!AH32</f>
        <v>79252.293120000002</v>
      </c>
      <c r="AI9" s="67">
        <f>A_CSCogs*Headcount!AI32</f>
        <v>80667.512640000001</v>
      </c>
      <c r="AJ9" s="67">
        <f>A_CSCogs*Headcount!AJ32</f>
        <v>82082.73216</v>
      </c>
      <c r="AK9" s="67">
        <f>A_CSCogs*Headcount!AK32</f>
        <v>83497.951680000013</v>
      </c>
      <c r="AL9" s="67">
        <f>A_CSCogs*Headcount!AL32</f>
        <v>84913.171200000012</v>
      </c>
    </row>
    <row r="10" spans="1:42" x14ac:dyDescent="0.35">
      <c r="A10" s="59" t="s">
        <v>242</v>
      </c>
      <c r="B10" s="60" t="s">
        <v>144</v>
      </c>
      <c r="C10" s="61">
        <f t="shared" ref="C10:AL10" si="1">C8+C9</f>
        <v>69735.740000000005</v>
      </c>
      <c r="D10" s="61">
        <f t="shared" si="1"/>
        <v>72871.157049142115</v>
      </c>
      <c r="E10" s="61">
        <f t="shared" si="1"/>
        <v>76012.961379665823</v>
      </c>
      <c r="F10" s="61">
        <f t="shared" si="1"/>
        <v>79161.263271183503</v>
      </c>
      <c r="G10" s="61">
        <f t="shared" si="1"/>
        <v>82316.173055363412</v>
      </c>
      <c r="H10" s="61">
        <f t="shared" si="1"/>
        <v>85477.801120601624</v>
      </c>
      <c r="I10" s="61">
        <f t="shared" si="1"/>
        <v>88646.257916683739</v>
      </c>
      <c r="J10" s="61">
        <f t="shared" si="1"/>
        <v>91821.653959435949</v>
      </c>
      <c r="K10" s="61">
        <f t="shared" si="1"/>
        <v>95004.099835366214</v>
      </c>
      <c r="L10" s="61">
        <f t="shared" si="1"/>
        <v>98193.706206295246</v>
      </c>
      <c r="M10" s="61">
        <f t="shared" si="1"/>
        <v>101390.58381397818</v>
      </c>
      <c r="N10" s="61">
        <f t="shared" si="1"/>
        <v>104594.8434847165</v>
      </c>
      <c r="O10" s="61">
        <f t="shared" si="1"/>
        <v>110179.25213396084</v>
      </c>
      <c r="P10" s="61">
        <f t="shared" si="1"/>
        <v>113887.09677090458</v>
      </c>
      <c r="Q10" s="61">
        <f t="shared" si="1"/>
        <v>117602.65650306904</v>
      </c>
      <c r="R10" s="61">
        <f t="shared" si="1"/>
        <v>121326.0425408796</v>
      </c>
      <c r="S10" s="61">
        <f t="shared" si="1"/>
        <v>125057.36620223365</v>
      </c>
      <c r="T10" s="61">
        <f t="shared" si="1"/>
        <v>128796.73891706052</v>
      </c>
      <c r="U10" s="61">
        <f t="shared" si="1"/>
        <v>132544.27223187307</v>
      </c>
      <c r="V10" s="61">
        <f t="shared" si="1"/>
        <v>136300.07781431195</v>
      </c>
      <c r="W10" s="61">
        <f t="shared" si="1"/>
        <v>140064.267457682</v>
      </c>
      <c r="X10" s="61">
        <f t="shared" si="1"/>
        <v>143836.95308548142</v>
      </c>
      <c r="Y10" s="61">
        <f t="shared" si="1"/>
        <v>147618.24675592399</v>
      </c>
      <c r="Z10" s="61">
        <f t="shared" si="1"/>
        <v>151408.26066645401</v>
      </c>
      <c r="AA10" s="61">
        <f t="shared" si="1"/>
        <v>157874.25163825497</v>
      </c>
      <c r="AB10" s="61">
        <f t="shared" si="1"/>
        <v>161736.47472075126</v>
      </c>
      <c r="AC10" s="61">
        <f t="shared" si="1"/>
        <v>165607.75551610399</v>
      </c>
      <c r="AD10" s="61">
        <f t="shared" si="1"/>
        <v>169488.20682370057</v>
      </c>
      <c r="AE10" s="61">
        <f t="shared" si="1"/>
        <v>173377.94160463806</v>
      </c>
      <c r="AF10" s="61">
        <f t="shared" si="1"/>
        <v>177277.0729862015</v>
      </c>
      <c r="AG10" s="61">
        <f t="shared" si="1"/>
        <v>181185.71426633626</v>
      </c>
      <c r="AH10" s="61">
        <f t="shared" si="1"/>
        <v>185103.97891811508</v>
      </c>
      <c r="AI10" s="61">
        <f t="shared" si="1"/>
        <v>189031.98059420037</v>
      </c>
      <c r="AJ10" s="61">
        <f t="shared" si="1"/>
        <v>192969.83313130136</v>
      </c>
      <c r="AK10" s="61">
        <f t="shared" si="1"/>
        <v>196917.65055462654</v>
      </c>
      <c r="AL10" s="61">
        <f t="shared" si="1"/>
        <v>200875.54708233179</v>
      </c>
    </row>
    <row r="12" spans="1:42" x14ac:dyDescent="0.35">
      <c r="A12" s="31" t="s">
        <v>243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</row>
    <row r="13" spans="1:42" x14ac:dyDescent="0.35">
      <c r="A13" s="33" t="s">
        <v>244</v>
      </c>
      <c r="B13" s="34" t="s">
        <v>144</v>
      </c>
      <c r="C13" s="67">
        <f>Headcount!C30+Headcount!C31+(1-A_CSCogs)*Headcount!C32</f>
        <v>163893.61388888891</v>
      </c>
      <c r="D13" s="67">
        <f>Headcount!D30+Headcount!D31+(1-A_CSCogs)*Headcount!D32</f>
        <v>168268.16111111114</v>
      </c>
      <c r="E13" s="67">
        <f>Headcount!E30+Headcount!E31+(1-A_CSCogs)*Headcount!E32</f>
        <v>172642.70833333337</v>
      </c>
      <c r="F13" s="67">
        <f>Headcount!F30+Headcount!F31+(1-A_CSCogs)*Headcount!F32</f>
        <v>177017.2555555556</v>
      </c>
      <c r="G13" s="67">
        <f>Headcount!G30+Headcount!G31+(1-A_CSCogs)*Headcount!G32</f>
        <v>181391.8027777778</v>
      </c>
      <c r="H13" s="67">
        <f>Headcount!H30+Headcount!H31+(1-A_CSCogs)*Headcount!H32</f>
        <v>185766.35</v>
      </c>
      <c r="I13" s="67">
        <f>Headcount!I30+Headcount!I31+(1-A_CSCogs)*Headcount!I32</f>
        <v>190140.89722222224</v>
      </c>
      <c r="J13" s="67">
        <f>Headcount!J30+Headcount!J31+(1-A_CSCogs)*Headcount!J32</f>
        <v>194515.44444444447</v>
      </c>
      <c r="K13" s="67">
        <f>Headcount!K30+Headcount!K31+(1-A_CSCogs)*Headcount!K32</f>
        <v>198889.99166666667</v>
      </c>
      <c r="L13" s="67">
        <f>Headcount!L30+Headcount!L31+(1-A_CSCogs)*Headcount!L32</f>
        <v>203264.5388888889</v>
      </c>
      <c r="M13" s="67">
        <f>Headcount!M30+Headcount!M31+(1-A_CSCogs)*Headcount!M32</f>
        <v>207639.0861111111</v>
      </c>
      <c r="N13" s="67">
        <f>Headcount!N30+Headcount!N31+(1-A_CSCogs)*Headcount!N32</f>
        <v>212013.63333333336</v>
      </c>
      <c r="O13" s="67">
        <f>Headcount!O30+Headcount!O31+(1-A_CSCogs)*Headcount!O32</f>
        <v>225346.10511111113</v>
      </c>
      <c r="P13" s="67">
        <f>Headcount!P30+Headcount!P31+(1-A_CSCogs)*Headcount!P32</f>
        <v>230198.03155555556</v>
      </c>
      <c r="Q13" s="67">
        <f>Headcount!Q30+Headcount!Q31+(1-A_CSCogs)*Headcount!Q32</f>
        <v>235049.95800000001</v>
      </c>
      <c r="R13" s="67">
        <f>Headcount!R30+Headcount!R31+(1-A_CSCogs)*Headcount!R32</f>
        <v>239901.8844444445</v>
      </c>
      <c r="S13" s="67">
        <f>Headcount!S30+Headcount!S31+(1-A_CSCogs)*Headcount!S32</f>
        <v>244753.8108888889</v>
      </c>
      <c r="T13" s="67">
        <f>Headcount!T30+Headcount!T31+(1-A_CSCogs)*Headcount!T32</f>
        <v>249605.73733333332</v>
      </c>
      <c r="U13" s="67">
        <f>Headcount!U30+Headcount!U31+(1-A_CSCogs)*Headcount!U32</f>
        <v>254457.66377777775</v>
      </c>
      <c r="V13" s="67">
        <f>Headcount!V30+Headcount!V31+(1-A_CSCogs)*Headcount!V32</f>
        <v>259309.59022222221</v>
      </c>
      <c r="W13" s="67">
        <f>Headcount!W30+Headcount!W31+(1-A_CSCogs)*Headcount!W32</f>
        <v>264161.51666666672</v>
      </c>
      <c r="X13" s="67">
        <f>Headcount!X30+Headcount!X31+(1-A_CSCogs)*Headcount!X32</f>
        <v>269013.44311111112</v>
      </c>
      <c r="Y13" s="67">
        <f>Headcount!Y30+Headcount!Y31+(1-A_CSCogs)*Headcount!Y32</f>
        <v>273865.36955555552</v>
      </c>
      <c r="Z13" s="67">
        <f>Headcount!Z30+Headcount!Z31+(1-A_CSCogs)*Headcount!Z32</f>
        <v>278717.29599999997</v>
      </c>
      <c r="AA13" s="67">
        <f>Headcount!AA30+Headcount!AA31+(1-A_CSCogs)*Headcount!AA32</f>
        <v>294911.99134222226</v>
      </c>
      <c r="AB13" s="67">
        <f>Headcount!AB30+Headcount!AB31+(1-A_CSCogs)*Headcount!AB32</f>
        <v>299957.99484444445</v>
      </c>
      <c r="AC13" s="67">
        <f>Headcount!AC30+Headcount!AC31+(1-A_CSCogs)*Headcount!AC32</f>
        <v>305003.99834666669</v>
      </c>
      <c r="AD13" s="67">
        <f>Headcount!AD30+Headcount!AD31+(1-A_CSCogs)*Headcount!AD32</f>
        <v>310050.00184888893</v>
      </c>
      <c r="AE13" s="67">
        <f>Headcount!AE30+Headcount!AE31+(1-A_CSCogs)*Headcount!AE32</f>
        <v>315096.00535111118</v>
      </c>
      <c r="AF13" s="67">
        <f>Headcount!AF30+Headcount!AF31+(1-A_CSCogs)*Headcount!AF32</f>
        <v>320142.00885333336</v>
      </c>
      <c r="AG13" s="67">
        <f>Headcount!AG30+Headcount!AG31+(1-A_CSCogs)*Headcount!AG32</f>
        <v>325188.01235555555</v>
      </c>
      <c r="AH13" s="67">
        <f>Headcount!AH30+Headcount!AH31+(1-A_CSCogs)*Headcount!AH32</f>
        <v>330234.01585777773</v>
      </c>
      <c r="AI13" s="67">
        <f>Headcount!AI30+Headcount!AI31+(1-A_CSCogs)*Headcount!AI32</f>
        <v>335280.01936000003</v>
      </c>
      <c r="AJ13" s="67">
        <f>Headcount!AJ30+Headcount!AJ31+(1-A_CSCogs)*Headcount!AJ32</f>
        <v>340326.02286222222</v>
      </c>
      <c r="AK13" s="67">
        <f>Headcount!AK30+Headcount!AK31+(1-A_CSCogs)*Headcount!AK32</f>
        <v>345372.02636444446</v>
      </c>
      <c r="AL13" s="67">
        <f>Headcount!AL30+Headcount!AL31+(1-A_CSCogs)*Headcount!AL32</f>
        <v>350418.02986666671</v>
      </c>
    </row>
    <row r="14" spans="1:42" x14ac:dyDescent="0.35">
      <c r="A14" s="33" t="s">
        <v>245</v>
      </c>
      <c r="B14" s="34" t="s">
        <v>144</v>
      </c>
      <c r="C14" s="58">
        <f t="shared" ref="C14:AL14" si="2">L_Mktg*(1+A_MktgG)^(YEAR(C$5)-2026)</f>
        <v>150000</v>
      </c>
      <c r="D14" s="58">
        <f t="shared" si="2"/>
        <v>150000</v>
      </c>
      <c r="E14" s="58">
        <f t="shared" si="2"/>
        <v>150000</v>
      </c>
      <c r="F14" s="58">
        <f t="shared" si="2"/>
        <v>150000</v>
      </c>
      <c r="G14" s="58">
        <f t="shared" si="2"/>
        <v>150000</v>
      </c>
      <c r="H14" s="58">
        <f t="shared" si="2"/>
        <v>150000</v>
      </c>
      <c r="I14" s="58">
        <f t="shared" si="2"/>
        <v>150000</v>
      </c>
      <c r="J14" s="58">
        <f t="shared" si="2"/>
        <v>150000</v>
      </c>
      <c r="K14" s="58">
        <f t="shared" si="2"/>
        <v>150000</v>
      </c>
      <c r="L14" s="58">
        <f t="shared" si="2"/>
        <v>150000</v>
      </c>
      <c r="M14" s="58">
        <f t="shared" si="2"/>
        <v>150000</v>
      </c>
      <c r="N14" s="58">
        <f t="shared" si="2"/>
        <v>150000</v>
      </c>
      <c r="O14" s="58">
        <f t="shared" si="2"/>
        <v>180000</v>
      </c>
      <c r="P14" s="58">
        <f t="shared" si="2"/>
        <v>180000</v>
      </c>
      <c r="Q14" s="58">
        <f t="shared" si="2"/>
        <v>180000</v>
      </c>
      <c r="R14" s="58">
        <f t="shared" si="2"/>
        <v>180000</v>
      </c>
      <c r="S14" s="58">
        <f t="shared" si="2"/>
        <v>180000</v>
      </c>
      <c r="T14" s="58">
        <f t="shared" si="2"/>
        <v>180000</v>
      </c>
      <c r="U14" s="58">
        <f t="shared" si="2"/>
        <v>180000</v>
      </c>
      <c r="V14" s="58">
        <f t="shared" si="2"/>
        <v>180000</v>
      </c>
      <c r="W14" s="58">
        <f t="shared" si="2"/>
        <v>180000</v>
      </c>
      <c r="X14" s="58">
        <f t="shared" si="2"/>
        <v>180000</v>
      </c>
      <c r="Y14" s="58">
        <f t="shared" si="2"/>
        <v>180000</v>
      </c>
      <c r="Z14" s="58">
        <f t="shared" si="2"/>
        <v>180000</v>
      </c>
      <c r="AA14" s="58">
        <f t="shared" si="2"/>
        <v>216000</v>
      </c>
      <c r="AB14" s="58">
        <f t="shared" si="2"/>
        <v>216000</v>
      </c>
      <c r="AC14" s="58">
        <f t="shared" si="2"/>
        <v>216000</v>
      </c>
      <c r="AD14" s="58">
        <f t="shared" si="2"/>
        <v>216000</v>
      </c>
      <c r="AE14" s="58">
        <f t="shared" si="2"/>
        <v>216000</v>
      </c>
      <c r="AF14" s="58">
        <f t="shared" si="2"/>
        <v>216000</v>
      </c>
      <c r="AG14" s="58">
        <f t="shared" si="2"/>
        <v>216000</v>
      </c>
      <c r="AH14" s="58">
        <f t="shared" si="2"/>
        <v>216000</v>
      </c>
      <c r="AI14" s="58">
        <f t="shared" si="2"/>
        <v>216000</v>
      </c>
      <c r="AJ14" s="58">
        <f t="shared" si="2"/>
        <v>216000</v>
      </c>
      <c r="AK14" s="58">
        <f t="shared" si="2"/>
        <v>216000</v>
      </c>
      <c r="AL14" s="58">
        <f t="shared" si="2"/>
        <v>216000</v>
      </c>
    </row>
    <row r="15" spans="1:42" x14ac:dyDescent="0.35">
      <c r="A15" s="33" t="s">
        <v>246</v>
      </c>
      <c r="B15" s="34" t="s">
        <v>144</v>
      </c>
      <c r="C15" s="58">
        <f t="shared" ref="C15:AL15" si="3">A_TravelPct*C13</f>
        <v>3277.8722777777784</v>
      </c>
      <c r="D15" s="58">
        <f t="shared" si="3"/>
        <v>3365.3632222222227</v>
      </c>
      <c r="E15" s="58">
        <f t="shared" si="3"/>
        <v>3452.8541666666674</v>
      </c>
      <c r="F15" s="58">
        <f t="shared" si="3"/>
        <v>3540.3451111111121</v>
      </c>
      <c r="G15" s="58">
        <f t="shared" si="3"/>
        <v>3627.836055555556</v>
      </c>
      <c r="H15" s="58">
        <f t="shared" si="3"/>
        <v>3715.3270000000002</v>
      </c>
      <c r="I15" s="58">
        <f t="shared" si="3"/>
        <v>3802.8179444444449</v>
      </c>
      <c r="J15" s="58">
        <f t="shared" si="3"/>
        <v>3890.3088888888892</v>
      </c>
      <c r="K15" s="58">
        <f t="shared" si="3"/>
        <v>3977.7998333333335</v>
      </c>
      <c r="L15" s="58">
        <f t="shared" si="3"/>
        <v>4065.2907777777782</v>
      </c>
      <c r="M15" s="58">
        <f t="shared" si="3"/>
        <v>4152.781722222222</v>
      </c>
      <c r="N15" s="58">
        <f t="shared" si="3"/>
        <v>4240.2726666666676</v>
      </c>
      <c r="O15" s="58">
        <f t="shared" si="3"/>
        <v>4506.9221022222227</v>
      </c>
      <c r="P15" s="58">
        <f t="shared" si="3"/>
        <v>4603.9606311111111</v>
      </c>
      <c r="Q15" s="58">
        <f t="shared" si="3"/>
        <v>4700.9991600000003</v>
      </c>
      <c r="R15" s="58">
        <f t="shared" si="3"/>
        <v>4798.0376888888904</v>
      </c>
      <c r="S15" s="58">
        <f t="shared" si="3"/>
        <v>4895.0762177777779</v>
      </c>
      <c r="T15" s="58">
        <f t="shared" si="3"/>
        <v>4992.1147466666662</v>
      </c>
      <c r="U15" s="58">
        <f t="shared" si="3"/>
        <v>5089.1532755555554</v>
      </c>
      <c r="V15" s="58">
        <f t="shared" si="3"/>
        <v>5186.1918044444446</v>
      </c>
      <c r="W15" s="58">
        <f t="shared" si="3"/>
        <v>5283.2303333333348</v>
      </c>
      <c r="X15" s="58">
        <f t="shared" si="3"/>
        <v>5380.2688622222222</v>
      </c>
      <c r="Y15" s="58">
        <f t="shared" si="3"/>
        <v>5477.3073911111105</v>
      </c>
      <c r="Z15" s="58">
        <f t="shared" si="3"/>
        <v>5574.3459199999998</v>
      </c>
      <c r="AA15" s="58">
        <f t="shared" si="3"/>
        <v>5898.2398268444449</v>
      </c>
      <c r="AB15" s="58">
        <f t="shared" si="3"/>
        <v>5999.1598968888893</v>
      </c>
      <c r="AC15" s="58">
        <f t="shared" si="3"/>
        <v>6100.0799669333337</v>
      </c>
      <c r="AD15" s="58">
        <f t="shared" si="3"/>
        <v>6201.000036977779</v>
      </c>
      <c r="AE15" s="58">
        <f t="shared" si="3"/>
        <v>6301.9201070222234</v>
      </c>
      <c r="AF15" s="58">
        <f t="shared" si="3"/>
        <v>6402.8401770666678</v>
      </c>
      <c r="AG15" s="58">
        <f t="shared" si="3"/>
        <v>6503.7602471111113</v>
      </c>
      <c r="AH15" s="58">
        <f t="shared" si="3"/>
        <v>6604.6803171555548</v>
      </c>
      <c r="AI15" s="58">
        <f t="shared" si="3"/>
        <v>6705.600387200001</v>
      </c>
      <c r="AJ15" s="58">
        <f t="shared" si="3"/>
        <v>6806.5204572444445</v>
      </c>
      <c r="AK15" s="58">
        <f t="shared" si="3"/>
        <v>6907.4405272888898</v>
      </c>
      <c r="AL15" s="58">
        <f t="shared" si="3"/>
        <v>7008.3605973333342</v>
      </c>
    </row>
    <row r="16" spans="1:42" x14ac:dyDescent="0.35">
      <c r="A16" s="33" t="s">
        <v>247</v>
      </c>
      <c r="B16" s="34" t="s">
        <v>144</v>
      </c>
      <c r="C16" s="67">
        <f>A_SoftHead*(Headcount!C18+Headcount!C19+Headcount!C20)</f>
        <v>2925</v>
      </c>
      <c r="D16" s="67">
        <f>A_SoftHead*(Headcount!D18+Headcount!D19+Headcount!D20)</f>
        <v>3000</v>
      </c>
      <c r="E16" s="67">
        <f>A_SoftHead*(Headcount!E18+Headcount!E19+Headcount!E20)</f>
        <v>3075</v>
      </c>
      <c r="F16" s="67">
        <f>A_SoftHead*(Headcount!F18+Headcount!F19+Headcount!F20)</f>
        <v>3150</v>
      </c>
      <c r="G16" s="67">
        <f>A_SoftHead*(Headcount!G18+Headcount!G19+Headcount!G20)</f>
        <v>3225</v>
      </c>
      <c r="H16" s="67">
        <f>A_SoftHead*(Headcount!H18+Headcount!H19+Headcount!H20)</f>
        <v>3300</v>
      </c>
      <c r="I16" s="67">
        <f>A_SoftHead*(Headcount!I18+Headcount!I19+Headcount!I20)</f>
        <v>3375</v>
      </c>
      <c r="J16" s="67">
        <f>A_SoftHead*(Headcount!J18+Headcount!J19+Headcount!J20)</f>
        <v>3450</v>
      </c>
      <c r="K16" s="67">
        <f>A_SoftHead*(Headcount!K18+Headcount!K19+Headcount!K20)</f>
        <v>3524.9999999999995</v>
      </c>
      <c r="L16" s="67">
        <f>A_SoftHead*(Headcount!L18+Headcount!L19+Headcount!L20)</f>
        <v>3599.9999999999995</v>
      </c>
      <c r="M16" s="67">
        <f>A_SoftHead*(Headcount!M18+Headcount!M19+Headcount!M20)</f>
        <v>3674.9999999999995</v>
      </c>
      <c r="N16" s="67">
        <f>A_SoftHead*(Headcount!N18+Headcount!N19+Headcount!N20)</f>
        <v>3749.9999999999991</v>
      </c>
      <c r="O16" s="67">
        <f>A_SoftHead*(Headcount!O18+Headcount!O19+Headcount!O20)</f>
        <v>3837.4999999999991</v>
      </c>
      <c r="P16" s="67">
        <f>A_SoftHead*(Headcount!P18+Headcount!P19+Headcount!P20)</f>
        <v>3924.9999999999995</v>
      </c>
      <c r="Q16" s="67">
        <f>A_SoftHead*(Headcount!Q18+Headcount!Q19+Headcount!Q20)</f>
        <v>4012.4999999999991</v>
      </c>
      <c r="R16" s="67">
        <f>A_SoftHead*(Headcount!R18+Headcount!R19+Headcount!R20)</f>
        <v>4099.9999999999991</v>
      </c>
      <c r="S16" s="67">
        <f>A_SoftHead*(Headcount!S18+Headcount!S19+Headcount!S20)</f>
        <v>4187.4999999999982</v>
      </c>
      <c r="T16" s="67">
        <f>A_SoftHead*(Headcount!T18+Headcount!T19+Headcount!T20)</f>
        <v>4274.9999999999991</v>
      </c>
      <c r="U16" s="67">
        <f>A_SoftHead*(Headcount!U18+Headcount!U19+Headcount!U20)</f>
        <v>4362.4999999999991</v>
      </c>
      <c r="V16" s="67">
        <f>A_SoftHead*(Headcount!V18+Headcount!V19+Headcount!V20)</f>
        <v>4449.9999999999982</v>
      </c>
      <c r="W16" s="67">
        <f>A_SoftHead*(Headcount!W18+Headcount!W19+Headcount!W20)</f>
        <v>4537.4999999999991</v>
      </c>
      <c r="X16" s="67">
        <f>A_SoftHead*(Headcount!X18+Headcount!X19+Headcount!X20)</f>
        <v>4624.9999999999991</v>
      </c>
      <c r="Y16" s="67">
        <f>A_SoftHead*(Headcount!Y18+Headcount!Y19+Headcount!Y20)</f>
        <v>4712.4999999999982</v>
      </c>
      <c r="Z16" s="67">
        <f>A_SoftHead*(Headcount!Z18+Headcount!Z19+Headcount!Z20)</f>
        <v>4799.9999999999991</v>
      </c>
      <c r="AA16" s="67">
        <f>A_SoftHead*(Headcount!AA18+Headcount!AA19+Headcount!AA20)</f>
        <v>4887.4999999999982</v>
      </c>
      <c r="AB16" s="67">
        <f>A_SoftHead*(Headcount!AB18+Headcount!AB19+Headcount!AB20)</f>
        <v>4974.9999999999982</v>
      </c>
      <c r="AC16" s="67">
        <f>A_SoftHead*(Headcount!AC18+Headcount!AC19+Headcount!AC20)</f>
        <v>5062.4999999999991</v>
      </c>
      <c r="AD16" s="67">
        <f>A_SoftHead*(Headcount!AD18+Headcount!AD19+Headcount!AD20)</f>
        <v>5149.9999999999982</v>
      </c>
      <c r="AE16" s="67">
        <f>A_SoftHead*(Headcount!AE18+Headcount!AE19+Headcount!AE20)</f>
        <v>5237.4999999999982</v>
      </c>
      <c r="AF16" s="67">
        <f>A_SoftHead*(Headcount!AF18+Headcount!AF19+Headcount!AF20)</f>
        <v>5324.9999999999991</v>
      </c>
      <c r="AG16" s="67">
        <f>A_SoftHead*(Headcount!AG18+Headcount!AG19+Headcount!AG20)</f>
        <v>5412.4999999999982</v>
      </c>
      <c r="AH16" s="67">
        <f>A_SoftHead*(Headcount!AH18+Headcount!AH19+Headcount!AH20)</f>
        <v>5499.9999999999982</v>
      </c>
      <c r="AI16" s="67">
        <f>A_SoftHead*(Headcount!AI18+Headcount!AI19+Headcount!AI20)</f>
        <v>5587.4999999999982</v>
      </c>
      <c r="AJ16" s="67">
        <f>A_SoftHead*(Headcount!AJ18+Headcount!AJ19+Headcount!AJ20)</f>
        <v>5674.9999999999982</v>
      </c>
      <c r="AK16" s="67">
        <f>A_SoftHead*(Headcount!AK18+Headcount!AK19+Headcount!AK20)</f>
        <v>5762.4999999999982</v>
      </c>
      <c r="AL16" s="67">
        <f>A_SoftHead*(Headcount!AL18+Headcount!AL19+Headcount!AL20)</f>
        <v>5849.9999999999982</v>
      </c>
    </row>
    <row r="17" spans="1:42" x14ac:dyDescent="0.35">
      <c r="A17" s="59" t="s">
        <v>248</v>
      </c>
      <c r="B17" s="60" t="s">
        <v>144</v>
      </c>
      <c r="C17" s="61">
        <f t="shared" ref="C17:AL17" si="4">SUM(C13:C16)</f>
        <v>320096.48616666667</v>
      </c>
      <c r="D17" s="61">
        <f t="shared" si="4"/>
        <v>324633.52433333342</v>
      </c>
      <c r="E17" s="61">
        <f t="shared" si="4"/>
        <v>329170.56250000006</v>
      </c>
      <c r="F17" s="61">
        <f t="shared" si="4"/>
        <v>333707.60066666669</v>
      </c>
      <c r="G17" s="61">
        <f t="shared" si="4"/>
        <v>338244.63883333333</v>
      </c>
      <c r="H17" s="61">
        <f t="shared" si="4"/>
        <v>342781.67699999997</v>
      </c>
      <c r="I17" s="61">
        <f t="shared" si="4"/>
        <v>347318.71516666666</v>
      </c>
      <c r="J17" s="61">
        <f t="shared" si="4"/>
        <v>351855.75333333341</v>
      </c>
      <c r="K17" s="61">
        <f t="shared" si="4"/>
        <v>356392.79150000005</v>
      </c>
      <c r="L17" s="61">
        <f t="shared" si="4"/>
        <v>360929.82966666669</v>
      </c>
      <c r="M17" s="61">
        <f t="shared" si="4"/>
        <v>365466.86783333332</v>
      </c>
      <c r="N17" s="61">
        <f t="shared" si="4"/>
        <v>370003.90600000002</v>
      </c>
      <c r="O17" s="61">
        <f t="shared" si="4"/>
        <v>413690.52721333335</v>
      </c>
      <c r="P17" s="61">
        <f t="shared" si="4"/>
        <v>418726.99218666664</v>
      </c>
      <c r="Q17" s="61">
        <f t="shared" si="4"/>
        <v>423763.45715999999</v>
      </c>
      <c r="R17" s="61">
        <f t="shared" si="4"/>
        <v>428799.9221333334</v>
      </c>
      <c r="S17" s="61">
        <f t="shared" si="4"/>
        <v>433836.38710666669</v>
      </c>
      <c r="T17" s="61">
        <f t="shared" si="4"/>
        <v>438872.85208000004</v>
      </c>
      <c r="U17" s="61">
        <f t="shared" si="4"/>
        <v>443909.31705333333</v>
      </c>
      <c r="V17" s="61">
        <f t="shared" si="4"/>
        <v>448945.78202666662</v>
      </c>
      <c r="W17" s="61">
        <f t="shared" si="4"/>
        <v>453982.24700000003</v>
      </c>
      <c r="X17" s="61">
        <f t="shared" si="4"/>
        <v>459018.71197333332</v>
      </c>
      <c r="Y17" s="61">
        <f t="shared" si="4"/>
        <v>464055.17694666662</v>
      </c>
      <c r="Z17" s="61">
        <f t="shared" si="4"/>
        <v>469091.64191999997</v>
      </c>
      <c r="AA17" s="61">
        <f t="shared" si="4"/>
        <v>521697.73116906668</v>
      </c>
      <c r="AB17" s="61">
        <f t="shared" si="4"/>
        <v>526932.15474133333</v>
      </c>
      <c r="AC17" s="61">
        <f t="shared" si="4"/>
        <v>532166.57831360004</v>
      </c>
      <c r="AD17" s="61">
        <f t="shared" si="4"/>
        <v>537401.00188586675</v>
      </c>
      <c r="AE17" s="61">
        <f t="shared" si="4"/>
        <v>542635.42545813345</v>
      </c>
      <c r="AF17" s="61">
        <f t="shared" si="4"/>
        <v>547869.84903039993</v>
      </c>
      <c r="AG17" s="61">
        <f t="shared" si="4"/>
        <v>553104.27260266664</v>
      </c>
      <c r="AH17" s="61">
        <f t="shared" si="4"/>
        <v>558338.69617493334</v>
      </c>
      <c r="AI17" s="61">
        <f t="shared" si="4"/>
        <v>563573.11974720005</v>
      </c>
      <c r="AJ17" s="61">
        <f t="shared" si="4"/>
        <v>568807.54331946676</v>
      </c>
      <c r="AK17" s="61">
        <f t="shared" si="4"/>
        <v>574041.96689173346</v>
      </c>
      <c r="AL17" s="61">
        <f t="shared" si="4"/>
        <v>579276.39046400005</v>
      </c>
    </row>
    <row r="19" spans="1:42" x14ac:dyDescent="0.35">
      <c r="A19" s="31" t="s">
        <v>249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</row>
    <row r="20" spans="1:42" x14ac:dyDescent="0.35">
      <c r="A20" s="33" t="s">
        <v>250</v>
      </c>
      <c r="B20" s="34" t="s">
        <v>144</v>
      </c>
      <c r="C20" s="67">
        <f>Headcount!C28+Headcount!C29</f>
        <v>234104.4444444445</v>
      </c>
      <c r="D20" s="67">
        <f>Headcount!D28+Headcount!D29</f>
        <v>240068.88888888896</v>
      </c>
      <c r="E20" s="67">
        <f>Headcount!E28+Headcount!E29</f>
        <v>246033.3333333334</v>
      </c>
      <c r="F20" s="67">
        <f>Headcount!F28+Headcount!F29</f>
        <v>251997.77777777787</v>
      </c>
      <c r="G20" s="67">
        <f>Headcount!G28+Headcount!G29</f>
        <v>257962.22222222228</v>
      </c>
      <c r="H20" s="67">
        <f>Headcount!H28+Headcount!H29</f>
        <v>263926.66666666674</v>
      </c>
      <c r="I20" s="67">
        <f>Headcount!I28+Headcount!I29</f>
        <v>269891.11111111124</v>
      </c>
      <c r="J20" s="67">
        <f>Headcount!J28+Headcount!J29</f>
        <v>275855.55555555562</v>
      </c>
      <c r="K20" s="67">
        <f>Headcount!K28+Headcount!K29</f>
        <v>281820.00000000012</v>
      </c>
      <c r="L20" s="67">
        <f>Headcount!L28+Headcount!L29</f>
        <v>287784.44444444455</v>
      </c>
      <c r="M20" s="67">
        <f>Headcount!M28+Headcount!M29</f>
        <v>293748.88888888899</v>
      </c>
      <c r="N20" s="67">
        <f>Headcount!N28+Headcount!N29</f>
        <v>299713.33333333343</v>
      </c>
      <c r="O20" s="67">
        <f>Headcount!O28+Headcount!O29</f>
        <v>316644.90000000014</v>
      </c>
      <c r="P20" s="67">
        <f>Headcount!P28+Headcount!P29</f>
        <v>321587.93333333347</v>
      </c>
      <c r="Q20" s="67">
        <f>Headcount!Q28+Headcount!Q29</f>
        <v>326530.96666666679</v>
      </c>
      <c r="R20" s="67">
        <f>Headcount!R28+Headcount!R29</f>
        <v>331474.00000000012</v>
      </c>
      <c r="S20" s="67">
        <f>Headcount!S28+Headcount!S29</f>
        <v>336417.03333333344</v>
      </c>
      <c r="T20" s="67">
        <f>Headcount!T28+Headcount!T29</f>
        <v>341360.06666666677</v>
      </c>
      <c r="U20" s="67">
        <f>Headcount!U28+Headcount!U29</f>
        <v>346303.10000000009</v>
      </c>
      <c r="V20" s="67">
        <f>Headcount!V28+Headcount!V29</f>
        <v>351246.13333333342</v>
      </c>
      <c r="W20" s="67">
        <f>Headcount!W28+Headcount!W29</f>
        <v>356189.16666666674</v>
      </c>
      <c r="X20" s="67">
        <f>Headcount!X28+Headcount!X29</f>
        <v>361132.20000000007</v>
      </c>
      <c r="Y20" s="67">
        <f>Headcount!Y28+Headcount!Y29</f>
        <v>366075.23333333345</v>
      </c>
      <c r="Z20" s="67">
        <f>Headcount!Z28+Headcount!Z29</f>
        <v>371018.26666666678</v>
      </c>
      <c r="AA20" s="67">
        <f>Headcount!AA28+Headcount!AA29</f>
        <v>390999.75200000009</v>
      </c>
      <c r="AB20" s="67">
        <f>Headcount!AB28+Headcount!AB29</f>
        <v>396140.50666666683</v>
      </c>
      <c r="AC20" s="67">
        <f>Headcount!AC28+Headcount!AC29</f>
        <v>401281.26133333344</v>
      </c>
      <c r="AD20" s="67">
        <f>Headcount!AD28+Headcount!AD29</f>
        <v>406422.01600000012</v>
      </c>
      <c r="AE20" s="67">
        <f>Headcount!AE28+Headcount!AE29</f>
        <v>411562.77066666679</v>
      </c>
      <c r="AF20" s="67">
        <f>Headcount!AF28+Headcount!AF29</f>
        <v>416703.52533333347</v>
      </c>
      <c r="AG20" s="67">
        <f>Headcount!AG28+Headcount!AG29</f>
        <v>421844.28000000014</v>
      </c>
      <c r="AH20" s="67">
        <f>Headcount!AH28+Headcount!AH29</f>
        <v>426985.03466666676</v>
      </c>
      <c r="AI20" s="67">
        <f>Headcount!AI28+Headcount!AI29</f>
        <v>432125.78933333349</v>
      </c>
      <c r="AJ20" s="67">
        <f>Headcount!AJ28+Headcount!AJ29</f>
        <v>437266.54400000011</v>
      </c>
      <c r="AK20" s="67">
        <f>Headcount!AK28+Headcount!AK29</f>
        <v>442407.29866666679</v>
      </c>
      <c r="AL20" s="67">
        <f>Headcount!AL28+Headcount!AL29</f>
        <v>447548.05333333346</v>
      </c>
    </row>
    <row r="21" spans="1:42" x14ac:dyDescent="0.35">
      <c r="A21" s="33" t="s">
        <v>247</v>
      </c>
      <c r="B21" s="34" t="s">
        <v>144</v>
      </c>
      <c r="C21" s="67">
        <f>A_SoftHead*(Headcount!C16+Headcount!C17)</f>
        <v>2462.5</v>
      </c>
      <c r="D21" s="67">
        <f>A_SoftHead*(Headcount!D16+Headcount!D17)</f>
        <v>2525.0000000000005</v>
      </c>
      <c r="E21" s="67">
        <f>A_SoftHead*(Headcount!E16+Headcount!E17)</f>
        <v>2587.5</v>
      </c>
      <c r="F21" s="67">
        <f>A_SoftHead*(Headcount!F16+Headcount!F17)</f>
        <v>2650</v>
      </c>
      <c r="G21" s="67">
        <f>A_SoftHead*(Headcount!G16+Headcount!G17)</f>
        <v>2712.5000000000005</v>
      </c>
      <c r="H21" s="67">
        <f>A_SoftHead*(Headcount!H16+Headcount!H17)</f>
        <v>2775</v>
      </c>
      <c r="I21" s="67">
        <f>A_SoftHead*(Headcount!I16+Headcount!I17)</f>
        <v>2837.5</v>
      </c>
      <c r="J21" s="67">
        <f>A_SoftHead*(Headcount!J16+Headcount!J17)</f>
        <v>2900.0000000000005</v>
      </c>
      <c r="K21" s="67">
        <f>A_SoftHead*(Headcount!K16+Headcount!K17)</f>
        <v>2962.5000000000005</v>
      </c>
      <c r="L21" s="67">
        <f>A_SoftHead*(Headcount!L16+Headcount!L17)</f>
        <v>3025.0000000000009</v>
      </c>
      <c r="M21" s="67">
        <f>A_SoftHead*(Headcount!M16+Headcount!M17)</f>
        <v>3087.5000000000005</v>
      </c>
      <c r="N21" s="67">
        <f>A_SoftHead*(Headcount!N16+Headcount!N17)</f>
        <v>3150.0000000000005</v>
      </c>
      <c r="O21" s="67">
        <f>A_SoftHead*(Headcount!O16+Headcount!O17)</f>
        <v>3200.0000000000005</v>
      </c>
      <c r="P21" s="67">
        <f>A_SoftHead*(Headcount!P16+Headcount!P17)</f>
        <v>3250.0000000000009</v>
      </c>
      <c r="Q21" s="67">
        <f>A_SoftHead*(Headcount!Q16+Headcount!Q17)</f>
        <v>3300.0000000000005</v>
      </c>
      <c r="R21" s="67">
        <f>A_SoftHead*(Headcount!R16+Headcount!R17)</f>
        <v>3350.0000000000005</v>
      </c>
      <c r="S21" s="67">
        <f>A_SoftHead*(Headcount!S16+Headcount!S17)</f>
        <v>3400</v>
      </c>
      <c r="T21" s="67">
        <f>A_SoftHead*(Headcount!T16+Headcount!T17)</f>
        <v>3450</v>
      </c>
      <c r="U21" s="67">
        <f>A_SoftHead*(Headcount!U16+Headcount!U17)</f>
        <v>3500.0000000000005</v>
      </c>
      <c r="V21" s="67">
        <f>A_SoftHead*(Headcount!V16+Headcount!V17)</f>
        <v>3550</v>
      </c>
      <c r="W21" s="67">
        <f>A_SoftHead*(Headcount!W16+Headcount!W17)</f>
        <v>3600</v>
      </c>
      <c r="X21" s="67">
        <f>A_SoftHead*(Headcount!X16+Headcount!X17)</f>
        <v>3650.0000000000005</v>
      </c>
      <c r="Y21" s="67">
        <f>A_SoftHead*(Headcount!Y16+Headcount!Y17)</f>
        <v>3700</v>
      </c>
      <c r="Z21" s="67">
        <f>A_SoftHead*(Headcount!Z16+Headcount!Z17)</f>
        <v>3750</v>
      </c>
      <c r="AA21" s="67">
        <f>A_SoftHead*(Headcount!AA16+Headcount!AA17)</f>
        <v>3800</v>
      </c>
      <c r="AB21" s="67">
        <f>A_SoftHead*(Headcount!AB16+Headcount!AB17)</f>
        <v>3849.9999999999995</v>
      </c>
      <c r="AC21" s="67">
        <f>A_SoftHead*(Headcount!AC16+Headcount!AC17)</f>
        <v>3900</v>
      </c>
      <c r="AD21" s="67">
        <f>A_SoftHead*(Headcount!AD16+Headcount!AD17)</f>
        <v>3950</v>
      </c>
      <c r="AE21" s="67">
        <f>A_SoftHead*(Headcount!AE16+Headcount!AE17)</f>
        <v>3999.9999999999995</v>
      </c>
      <c r="AF21" s="67">
        <f>A_SoftHead*(Headcount!AF16+Headcount!AF17)</f>
        <v>4050</v>
      </c>
      <c r="AG21" s="67">
        <f>A_SoftHead*(Headcount!AG16+Headcount!AG17)</f>
        <v>4100</v>
      </c>
      <c r="AH21" s="67">
        <f>A_SoftHead*(Headcount!AH16+Headcount!AH17)</f>
        <v>4150</v>
      </c>
      <c r="AI21" s="67">
        <f>A_SoftHead*(Headcount!AI16+Headcount!AI17)</f>
        <v>4199.9999999999991</v>
      </c>
      <c r="AJ21" s="67">
        <f>A_SoftHead*(Headcount!AJ16+Headcount!AJ17)</f>
        <v>4249.9999999999991</v>
      </c>
      <c r="AK21" s="67">
        <f>A_SoftHead*(Headcount!AK16+Headcount!AK17)</f>
        <v>4300</v>
      </c>
      <c r="AL21" s="67">
        <f>A_SoftHead*(Headcount!AL16+Headcount!AL17)</f>
        <v>4349.9999999999991</v>
      </c>
    </row>
    <row r="22" spans="1:42" x14ac:dyDescent="0.35">
      <c r="A22" s="33" t="s">
        <v>251</v>
      </c>
      <c r="B22" s="34" t="s">
        <v>144</v>
      </c>
      <c r="C22" s="58">
        <f t="shared" ref="C22:AL22" si="5">A_TravelPct/2*C20</f>
        <v>2341.0444444444452</v>
      </c>
      <c r="D22" s="58">
        <f t="shared" si="5"/>
        <v>2400.6888888888898</v>
      </c>
      <c r="E22" s="58">
        <f t="shared" si="5"/>
        <v>2460.3333333333339</v>
      </c>
      <c r="F22" s="58">
        <f t="shared" si="5"/>
        <v>2519.9777777777786</v>
      </c>
      <c r="G22" s="58">
        <f t="shared" si="5"/>
        <v>2579.6222222222227</v>
      </c>
      <c r="H22" s="58">
        <f t="shared" si="5"/>
        <v>2639.2666666666673</v>
      </c>
      <c r="I22" s="58">
        <f t="shared" si="5"/>
        <v>2698.9111111111124</v>
      </c>
      <c r="J22" s="58">
        <f t="shared" si="5"/>
        <v>2758.5555555555561</v>
      </c>
      <c r="K22" s="58">
        <f t="shared" si="5"/>
        <v>2818.2000000000012</v>
      </c>
      <c r="L22" s="58">
        <f t="shared" si="5"/>
        <v>2877.8444444444458</v>
      </c>
      <c r="M22" s="58">
        <f t="shared" si="5"/>
        <v>2937.48888888889</v>
      </c>
      <c r="N22" s="58">
        <f t="shared" si="5"/>
        <v>2997.1333333333346</v>
      </c>
      <c r="O22" s="58">
        <f t="shared" si="5"/>
        <v>3166.4490000000014</v>
      </c>
      <c r="P22" s="58">
        <f t="shared" si="5"/>
        <v>3215.8793333333347</v>
      </c>
      <c r="Q22" s="58">
        <f t="shared" si="5"/>
        <v>3265.3096666666679</v>
      </c>
      <c r="R22" s="58">
        <f t="shared" si="5"/>
        <v>3314.7400000000011</v>
      </c>
      <c r="S22" s="58">
        <f t="shared" si="5"/>
        <v>3364.1703333333344</v>
      </c>
      <c r="T22" s="58">
        <f t="shared" si="5"/>
        <v>3413.6006666666676</v>
      </c>
      <c r="U22" s="58">
        <f t="shared" si="5"/>
        <v>3463.0310000000009</v>
      </c>
      <c r="V22" s="58">
        <f t="shared" si="5"/>
        <v>3512.4613333333341</v>
      </c>
      <c r="W22" s="58">
        <f t="shared" si="5"/>
        <v>3561.8916666666673</v>
      </c>
      <c r="X22" s="58">
        <f t="shared" si="5"/>
        <v>3611.3220000000006</v>
      </c>
      <c r="Y22" s="58">
        <f t="shared" si="5"/>
        <v>3660.7523333333347</v>
      </c>
      <c r="Z22" s="58">
        <f t="shared" si="5"/>
        <v>3710.182666666668</v>
      </c>
      <c r="AA22" s="58">
        <f t="shared" si="5"/>
        <v>3909.9975200000008</v>
      </c>
      <c r="AB22" s="58">
        <f t="shared" si="5"/>
        <v>3961.4050666666685</v>
      </c>
      <c r="AC22" s="58">
        <f t="shared" si="5"/>
        <v>4012.8126133333344</v>
      </c>
      <c r="AD22" s="58">
        <f t="shared" si="5"/>
        <v>4064.2201600000012</v>
      </c>
      <c r="AE22" s="58">
        <f t="shared" si="5"/>
        <v>4115.627706666668</v>
      </c>
      <c r="AF22" s="58">
        <f t="shared" si="5"/>
        <v>4167.0352533333344</v>
      </c>
      <c r="AG22" s="58">
        <f t="shared" si="5"/>
        <v>4218.4428000000016</v>
      </c>
      <c r="AH22" s="58">
        <f t="shared" si="5"/>
        <v>4269.850346666668</v>
      </c>
      <c r="AI22" s="58">
        <f t="shared" si="5"/>
        <v>4321.2578933333352</v>
      </c>
      <c r="AJ22" s="58">
        <f t="shared" si="5"/>
        <v>4372.6654400000016</v>
      </c>
      <c r="AK22" s="58">
        <f t="shared" si="5"/>
        <v>4424.0729866666679</v>
      </c>
      <c r="AL22" s="58">
        <f t="shared" si="5"/>
        <v>4475.4805333333343</v>
      </c>
    </row>
    <row r="23" spans="1:42" x14ac:dyDescent="0.35">
      <c r="A23" s="59" t="s">
        <v>252</v>
      </c>
      <c r="B23" s="60" t="s">
        <v>144</v>
      </c>
      <c r="C23" s="61">
        <f t="shared" ref="C23:AL23" si="6">SUM(C20:C22)</f>
        <v>238907.98888888894</v>
      </c>
      <c r="D23" s="61">
        <f t="shared" si="6"/>
        <v>244994.57777777786</v>
      </c>
      <c r="E23" s="61">
        <f t="shared" si="6"/>
        <v>251081.16666666674</v>
      </c>
      <c r="F23" s="61">
        <f t="shared" si="6"/>
        <v>257167.75555555566</v>
      </c>
      <c r="G23" s="61">
        <f t="shared" si="6"/>
        <v>263254.34444444452</v>
      </c>
      <c r="H23" s="61">
        <f t="shared" si="6"/>
        <v>269340.93333333341</v>
      </c>
      <c r="I23" s="61">
        <f t="shared" si="6"/>
        <v>275427.52222222235</v>
      </c>
      <c r="J23" s="61">
        <f t="shared" si="6"/>
        <v>281514.11111111118</v>
      </c>
      <c r="K23" s="61">
        <f t="shared" si="6"/>
        <v>287600.70000000013</v>
      </c>
      <c r="L23" s="61">
        <f t="shared" si="6"/>
        <v>293687.28888888902</v>
      </c>
      <c r="M23" s="61">
        <f t="shared" si="6"/>
        <v>299773.8777777779</v>
      </c>
      <c r="N23" s="61">
        <f t="shared" si="6"/>
        <v>305860.46666666679</v>
      </c>
      <c r="O23" s="61">
        <f t="shared" si="6"/>
        <v>323011.34900000016</v>
      </c>
      <c r="P23" s="61">
        <f t="shared" si="6"/>
        <v>328053.81266666681</v>
      </c>
      <c r="Q23" s="61">
        <f t="shared" si="6"/>
        <v>333096.27633333346</v>
      </c>
      <c r="R23" s="61">
        <f t="shared" si="6"/>
        <v>338138.74000000011</v>
      </c>
      <c r="S23" s="61">
        <f t="shared" si="6"/>
        <v>343181.20366666676</v>
      </c>
      <c r="T23" s="61">
        <f t="shared" si="6"/>
        <v>348223.66733333346</v>
      </c>
      <c r="U23" s="61">
        <f t="shared" si="6"/>
        <v>353266.13100000011</v>
      </c>
      <c r="V23" s="61">
        <f t="shared" si="6"/>
        <v>358308.59466666676</v>
      </c>
      <c r="W23" s="61">
        <f t="shared" si="6"/>
        <v>363351.05833333341</v>
      </c>
      <c r="X23" s="61">
        <f t="shared" si="6"/>
        <v>368393.52200000006</v>
      </c>
      <c r="Y23" s="61">
        <f t="shared" si="6"/>
        <v>373435.98566666676</v>
      </c>
      <c r="Z23" s="61">
        <f t="shared" si="6"/>
        <v>378478.44933333347</v>
      </c>
      <c r="AA23" s="61">
        <f t="shared" si="6"/>
        <v>398709.74952000007</v>
      </c>
      <c r="AB23" s="61">
        <f t="shared" si="6"/>
        <v>403951.91173333349</v>
      </c>
      <c r="AC23" s="61">
        <f t="shared" si="6"/>
        <v>409194.07394666679</v>
      </c>
      <c r="AD23" s="61">
        <f t="shared" si="6"/>
        <v>414436.23616000015</v>
      </c>
      <c r="AE23" s="61">
        <f t="shared" si="6"/>
        <v>419678.39837333345</v>
      </c>
      <c r="AF23" s="61">
        <f t="shared" si="6"/>
        <v>424920.5605866668</v>
      </c>
      <c r="AG23" s="61">
        <f t="shared" si="6"/>
        <v>430162.72280000016</v>
      </c>
      <c r="AH23" s="61">
        <f t="shared" si="6"/>
        <v>435404.88501333341</v>
      </c>
      <c r="AI23" s="61">
        <f t="shared" si="6"/>
        <v>440647.04722666682</v>
      </c>
      <c r="AJ23" s="61">
        <f t="shared" si="6"/>
        <v>445889.20944000012</v>
      </c>
      <c r="AK23" s="61">
        <f t="shared" si="6"/>
        <v>451131.37165333348</v>
      </c>
      <c r="AL23" s="61">
        <f t="shared" si="6"/>
        <v>456373.53386666678</v>
      </c>
    </row>
    <row r="25" spans="1:42" x14ac:dyDescent="0.35">
      <c r="A25" s="31" t="s">
        <v>253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</row>
    <row r="26" spans="1:42" x14ac:dyDescent="0.35">
      <c r="A26" s="33" t="s">
        <v>254</v>
      </c>
      <c r="B26" s="34" t="s">
        <v>144</v>
      </c>
      <c r="C26" s="67">
        <f>Headcount!C33</f>
        <v>56848.611111111124</v>
      </c>
      <c r="D26" s="67">
        <f>Headcount!D33</f>
        <v>57780.555555555562</v>
      </c>
      <c r="E26" s="67">
        <f>Headcount!E33</f>
        <v>58712.5</v>
      </c>
      <c r="F26" s="67">
        <f>Headcount!F33</f>
        <v>59644.444444444445</v>
      </c>
      <c r="G26" s="67">
        <f>Headcount!G33</f>
        <v>60576.388888888883</v>
      </c>
      <c r="H26" s="67">
        <f>Headcount!H33</f>
        <v>61508.333333333321</v>
      </c>
      <c r="I26" s="67">
        <f>Headcount!I33</f>
        <v>62440.277777777774</v>
      </c>
      <c r="J26" s="67">
        <f>Headcount!J33</f>
        <v>63372.222222222212</v>
      </c>
      <c r="K26" s="67">
        <f>Headcount!K33</f>
        <v>64304.166666666657</v>
      </c>
      <c r="L26" s="67">
        <f>Headcount!L33</f>
        <v>65236.111111111095</v>
      </c>
      <c r="M26" s="67">
        <f>Headcount!M33</f>
        <v>66168.055555555547</v>
      </c>
      <c r="N26" s="67">
        <f>Headcount!N33</f>
        <v>67099.999999999985</v>
      </c>
      <c r="O26" s="67">
        <f>Headcount!O33</f>
        <v>70753.222222222204</v>
      </c>
      <c r="P26" s="67">
        <f>Headcount!P33</f>
        <v>71722.444444444409</v>
      </c>
      <c r="Q26" s="67">
        <f>Headcount!Q33</f>
        <v>72691.666666666628</v>
      </c>
      <c r="R26" s="67">
        <f>Headcount!R33</f>
        <v>73660.888888888861</v>
      </c>
      <c r="S26" s="67">
        <f>Headcount!S33</f>
        <v>74630.111111111066</v>
      </c>
      <c r="T26" s="67">
        <f>Headcount!T33</f>
        <v>75599.333333333285</v>
      </c>
      <c r="U26" s="67">
        <f>Headcount!U33</f>
        <v>76568.555555555518</v>
      </c>
      <c r="V26" s="67">
        <f>Headcount!V33</f>
        <v>77537.777777777723</v>
      </c>
      <c r="W26" s="67">
        <f>Headcount!W33</f>
        <v>78506.999999999956</v>
      </c>
      <c r="X26" s="67">
        <f>Headcount!X33</f>
        <v>79476.222222222175</v>
      </c>
      <c r="Y26" s="67">
        <f>Headcount!Y33</f>
        <v>80445.44444444438</v>
      </c>
      <c r="Z26" s="67">
        <f>Headcount!Z33</f>
        <v>81414.666666666613</v>
      </c>
      <c r="AA26" s="67">
        <f>Headcount!AA33</f>
        <v>85679.244444444383</v>
      </c>
      <c r="AB26" s="67">
        <f>Headcount!AB33</f>
        <v>86687.235555555497</v>
      </c>
      <c r="AC26" s="67">
        <f>Headcount!AC33</f>
        <v>87695.226666666582</v>
      </c>
      <c r="AD26" s="67">
        <f>Headcount!AD33</f>
        <v>88703.217777777711</v>
      </c>
      <c r="AE26" s="67">
        <f>Headcount!AE33</f>
        <v>89711.20888888881</v>
      </c>
      <c r="AF26" s="67">
        <f>Headcount!AF33</f>
        <v>90719.19999999991</v>
      </c>
      <c r="AG26" s="67">
        <f>Headcount!AG33</f>
        <v>91727.191111111024</v>
      </c>
      <c r="AH26" s="67">
        <f>Headcount!AH33</f>
        <v>92735.182222222138</v>
      </c>
      <c r="AI26" s="67">
        <f>Headcount!AI33</f>
        <v>93743.173333333238</v>
      </c>
      <c r="AJ26" s="67">
        <f>Headcount!AJ33</f>
        <v>94751.164444444352</v>
      </c>
      <c r="AK26" s="67">
        <f>Headcount!AK33</f>
        <v>95759.155555555466</v>
      </c>
      <c r="AL26" s="67">
        <f>Headcount!AL33</f>
        <v>96767.146666666566</v>
      </c>
    </row>
    <row r="27" spans="1:42" x14ac:dyDescent="0.35">
      <c r="A27" s="33" t="s">
        <v>255</v>
      </c>
      <c r="B27" s="34" t="s">
        <v>144</v>
      </c>
      <c r="C27" s="67">
        <f>A_RentHead*Headcount!C22</f>
        <v>18450</v>
      </c>
      <c r="D27" s="67">
        <f>A_RentHead*Headcount!D22</f>
        <v>18900</v>
      </c>
      <c r="E27" s="67">
        <f>A_RentHead*Headcount!E22</f>
        <v>19350</v>
      </c>
      <c r="F27" s="67">
        <f>A_RentHead*Headcount!F22</f>
        <v>19800</v>
      </c>
      <c r="G27" s="67">
        <f>A_RentHead*Headcount!G22</f>
        <v>20250</v>
      </c>
      <c r="H27" s="67">
        <f>A_RentHead*Headcount!H22</f>
        <v>20700</v>
      </c>
      <c r="I27" s="67">
        <f>A_RentHead*Headcount!I22</f>
        <v>21150</v>
      </c>
      <c r="J27" s="67">
        <f>A_RentHead*Headcount!J22</f>
        <v>21600</v>
      </c>
      <c r="K27" s="67">
        <f>A_RentHead*Headcount!K22</f>
        <v>22050</v>
      </c>
      <c r="L27" s="67">
        <f>A_RentHead*Headcount!L22</f>
        <v>22499.999999999996</v>
      </c>
      <c r="M27" s="67">
        <f>A_RentHead*Headcount!M22</f>
        <v>22949.999999999996</v>
      </c>
      <c r="N27" s="67">
        <f>A_RentHead*Headcount!N22</f>
        <v>23400</v>
      </c>
      <c r="O27" s="67">
        <f>A_RentHead*Headcount!O22</f>
        <v>23849.999999999996</v>
      </c>
      <c r="P27" s="67">
        <f>A_RentHead*Headcount!P22</f>
        <v>24300</v>
      </c>
      <c r="Q27" s="67">
        <f>A_RentHead*Headcount!Q22</f>
        <v>24749.999999999993</v>
      </c>
      <c r="R27" s="67">
        <f>A_RentHead*Headcount!R22</f>
        <v>25199.999999999996</v>
      </c>
      <c r="S27" s="67">
        <f>A_RentHead*Headcount!S22</f>
        <v>25650</v>
      </c>
      <c r="T27" s="67">
        <f>A_RentHead*Headcount!T22</f>
        <v>26099.999999999993</v>
      </c>
      <c r="U27" s="67">
        <f>A_RentHead*Headcount!U22</f>
        <v>26549.999999999996</v>
      </c>
      <c r="V27" s="67">
        <f>A_RentHead*Headcount!V22</f>
        <v>26999.999999999993</v>
      </c>
      <c r="W27" s="67">
        <f>A_RentHead*Headcount!W22</f>
        <v>27449.999999999993</v>
      </c>
      <c r="X27" s="67">
        <f>A_RentHead*Headcount!X22</f>
        <v>27899.999999999996</v>
      </c>
      <c r="Y27" s="67">
        <f>A_RentHead*Headcount!Y22</f>
        <v>28349.999999999993</v>
      </c>
      <c r="Z27" s="67">
        <f>A_RentHead*Headcount!Z22</f>
        <v>28799.999999999993</v>
      </c>
      <c r="AA27" s="67">
        <f>A_RentHead*Headcount!AA22</f>
        <v>29249.999999999993</v>
      </c>
      <c r="AB27" s="67">
        <f>A_RentHead*Headcount!AB22</f>
        <v>29699.999999999993</v>
      </c>
      <c r="AC27" s="67">
        <f>A_RentHead*Headcount!AC22</f>
        <v>30149.999999999993</v>
      </c>
      <c r="AD27" s="67">
        <f>A_RentHead*Headcount!AD22</f>
        <v>30599.999999999993</v>
      </c>
      <c r="AE27" s="67">
        <f>A_RentHead*Headcount!AE22</f>
        <v>31049.999999999993</v>
      </c>
      <c r="AF27" s="67">
        <f>A_RentHead*Headcount!AF22</f>
        <v>31499.999999999993</v>
      </c>
      <c r="AG27" s="67">
        <f>A_RentHead*Headcount!AG22</f>
        <v>31949.999999999985</v>
      </c>
      <c r="AH27" s="67">
        <f>A_RentHead*Headcount!AH22</f>
        <v>32399.999999999985</v>
      </c>
      <c r="AI27" s="67">
        <f>A_RentHead*Headcount!AI22</f>
        <v>32849.999999999985</v>
      </c>
      <c r="AJ27" s="67">
        <f>A_RentHead*Headcount!AJ22</f>
        <v>33299.999999999985</v>
      </c>
      <c r="AK27" s="67">
        <f>A_RentHead*Headcount!AK22</f>
        <v>33749.999999999985</v>
      </c>
      <c r="AL27" s="67">
        <f>A_RentHead*Headcount!AL22</f>
        <v>34199.999999999985</v>
      </c>
    </row>
    <row r="28" spans="1:42" x14ac:dyDescent="0.35">
      <c r="A28" s="33" t="s">
        <v>122</v>
      </c>
      <c r="B28" s="34" t="s">
        <v>144</v>
      </c>
      <c r="C28" s="58">
        <f t="shared" ref="C28:AL28" si="7">A_ProfFees*(1+A_ProfG)^(YEAR(C$5)-2026)</f>
        <v>30000</v>
      </c>
      <c r="D28" s="58">
        <f t="shared" si="7"/>
        <v>30000</v>
      </c>
      <c r="E28" s="58">
        <f t="shared" si="7"/>
        <v>30000</v>
      </c>
      <c r="F28" s="58">
        <f t="shared" si="7"/>
        <v>30000</v>
      </c>
      <c r="G28" s="58">
        <f t="shared" si="7"/>
        <v>30000</v>
      </c>
      <c r="H28" s="58">
        <f t="shared" si="7"/>
        <v>30000</v>
      </c>
      <c r="I28" s="58">
        <f t="shared" si="7"/>
        <v>30000</v>
      </c>
      <c r="J28" s="58">
        <f t="shared" si="7"/>
        <v>30000</v>
      </c>
      <c r="K28" s="58">
        <f t="shared" si="7"/>
        <v>30000</v>
      </c>
      <c r="L28" s="58">
        <f t="shared" si="7"/>
        <v>30000</v>
      </c>
      <c r="M28" s="58">
        <f t="shared" si="7"/>
        <v>30000</v>
      </c>
      <c r="N28" s="58">
        <f t="shared" si="7"/>
        <v>30000</v>
      </c>
      <c r="O28" s="58">
        <f t="shared" si="7"/>
        <v>31500</v>
      </c>
      <c r="P28" s="58">
        <f t="shared" si="7"/>
        <v>31500</v>
      </c>
      <c r="Q28" s="58">
        <f t="shared" si="7"/>
        <v>31500</v>
      </c>
      <c r="R28" s="58">
        <f t="shared" si="7"/>
        <v>31500</v>
      </c>
      <c r="S28" s="58">
        <f t="shared" si="7"/>
        <v>31500</v>
      </c>
      <c r="T28" s="58">
        <f t="shared" si="7"/>
        <v>31500</v>
      </c>
      <c r="U28" s="58">
        <f t="shared" si="7"/>
        <v>31500</v>
      </c>
      <c r="V28" s="58">
        <f t="shared" si="7"/>
        <v>31500</v>
      </c>
      <c r="W28" s="58">
        <f t="shared" si="7"/>
        <v>31500</v>
      </c>
      <c r="X28" s="58">
        <f t="shared" si="7"/>
        <v>31500</v>
      </c>
      <c r="Y28" s="58">
        <f t="shared" si="7"/>
        <v>31500</v>
      </c>
      <c r="Z28" s="58">
        <f t="shared" si="7"/>
        <v>31500</v>
      </c>
      <c r="AA28" s="58">
        <f t="shared" si="7"/>
        <v>33075</v>
      </c>
      <c r="AB28" s="58">
        <f t="shared" si="7"/>
        <v>33075</v>
      </c>
      <c r="AC28" s="58">
        <f t="shared" si="7"/>
        <v>33075</v>
      </c>
      <c r="AD28" s="58">
        <f t="shared" si="7"/>
        <v>33075</v>
      </c>
      <c r="AE28" s="58">
        <f t="shared" si="7"/>
        <v>33075</v>
      </c>
      <c r="AF28" s="58">
        <f t="shared" si="7"/>
        <v>33075</v>
      </c>
      <c r="AG28" s="58">
        <f t="shared" si="7"/>
        <v>33075</v>
      </c>
      <c r="AH28" s="58">
        <f t="shared" si="7"/>
        <v>33075</v>
      </c>
      <c r="AI28" s="58">
        <f t="shared" si="7"/>
        <v>33075</v>
      </c>
      <c r="AJ28" s="58">
        <f t="shared" si="7"/>
        <v>33075</v>
      </c>
      <c r="AK28" s="58">
        <f t="shared" si="7"/>
        <v>33075</v>
      </c>
      <c r="AL28" s="58">
        <f t="shared" si="7"/>
        <v>33075</v>
      </c>
    </row>
    <row r="29" spans="1:42" x14ac:dyDescent="0.35">
      <c r="A29" s="33" t="s">
        <v>247</v>
      </c>
      <c r="B29" s="34" t="s">
        <v>144</v>
      </c>
      <c r="C29" s="67">
        <f>A_SoftHead*Headcount!C21</f>
        <v>762.5</v>
      </c>
      <c r="D29" s="67">
        <f>A_SoftHead*Headcount!D21</f>
        <v>774.99999999999989</v>
      </c>
      <c r="E29" s="67">
        <f>A_SoftHead*Headcount!E21</f>
        <v>787.49999999999989</v>
      </c>
      <c r="F29" s="67">
        <f>A_SoftHead*Headcount!F21</f>
        <v>799.99999999999977</v>
      </c>
      <c r="G29" s="67">
        <f>A_SoftHead*Headcount!G21</f>
        <v>812.49999999999977</v>
      </c>
      <c r="H29" s="67">
        <f>A_SoftHead*Headcount!H21</f>
        <v>824.99999999999977</v>
      </c>
      <c r="I29" s="67">
        <f>A_SoftHead*Headcount!I21</f>
        <v>837.49999999999966</v>
      </c>
      <c r="J29" s="67">
        <f>A_SoftHead*Headcount!J21</f>
        <v>849.99999999999966</v>
      </c>
      <c r="K29" s="67">
        <f>A_SoftHead*Headcount!K21</f>
        <v>862.49999999999955</v>
      </c>
      <c r="L29" s="67">
        <f>A_SoftHead*Headcount!L21</f>
        <v>874.99999999999955</v>
      </c>
      <c r="M29" s="67">
        <f>A_SoftHead*Headcount!M21</f>
        <v>887.49999999999955</v>
      </c>
      <c r="N29" s="67">
        <f>A_SoftHead*Headcount!N21</f>
        <v>899.99999999999943</v>
      </c>
      <c r="O29" s="67">
        <f>A_SoftHead*Headcount!O21</f>
        <v>912.49999999999943</v>
      </c>
      <c r="P29" s="67">
        <f>A_SoftHead*Headcount!P21</f>
        <v>924.99999999999943</v>
      </c>
      <c r="Q29" s="67">
        <f>A_SoftHead*Headcount!Q21</f>
        <v>937.49999999999932</v>
      </c>
      <c r="R29" s="67">
        <f>A_SoftHead*Headcount!R21</f>
        <v>949.99999999999932</v>
      </c>
      <c r="S29" s="67">
        <f>A_SoftHead*Headcount!S21</f>
        <v>962.4999999999992</v>
      </c>
      <c r="T29" s="67">
        <f>A_SoftHead*Headcount!T21</f>
        <v>974.9999999999992</v>
      </c>
      <c r="U29" s="67">
        <f>A_SoftHead*Headcount!U21</f>
        <v>987.4999999999992</v>
      </c>
      <c r="V29" s="67">
        <f>A_SoftHead*Headcount!V21</f>
        <v>999.99999999999909</v>
      </c>
      <c r="W29" s="67">
        <f>A_SoftHead*Headcount!W21</f>
        <v>1012.4999999999991</v>
      </c>
      <c r="X29" s="67">
        <f>A_SoftHead*Headcount!X21</f>
        <v>1024.9999999999991</v>
      </c>
      <c r="Y29" s="67">
        <f>A_SoftHead*Headcount!Y21</f>
        <v>1037.4999999999991</v>
      </c>
      <c r="Z29" s="67">
        <f>A_SoftHead*Headcount!Z21</f>
        <v>1049.9999999999989</v>
      </c>
      <c r="AA29" s="67">
        <f>A_SoftHead*Headcount!AA21</f>
        <v>1062.4999999999989</v>
      </c>
      <c r="AB29" s="67">
        <f>A_SoftHead*Headcount!AB21</f>
        <v>1074.9999999999989</v>
      </c>
      <c r="AC29" s="67">
        <f>A_SoftHead*Headcount!AC21</f>
        <v>1087.4999999999989</v>
      </c>
      <c r="AD29" s="67">
        <f>A_SoftHead*Headcount!AD21</f>
        <v>1099.9999999999989</v>
      </c>
      <c r="AE29" s="67">
        <f>A_SoftHead*Headcount!AE21</f>
        <v>1112.4999999999986</v>
      </c>
      <c r="AF29" s="67">
        <f>A_SoftHead*Headcount!AF21</f>
        <v>1124.9999999999986</v>
      </c>
      <c r="AG29" s="67">
        <f>A_SoftHead*Headcount!AG21</f>
        <v>1137.4999999999986</v>
      </c>
      <c r="AH29" s="67">
        <f>A_SoftHead*Headcount!AH21</f>
        <v>1149.9999999999986</v>
      </c>
      <c r="AI29" s="67">
        <f>A_SoftHead*Headcount!AI21</f>
        <v>1162.4999999999986</v>
      </c>
      <c r="AJ29" s="67">
        <f>A_SoftHead*Headcount!AJ21</f>
        <v>1174.9999999999984</v>
      </c>
      <c r="AK29" s="67">
        <f>A_SoftHead*Headcount!AK21</f>
        <v>1187.4999999999984</v>
      </c>
      <c r="AL29" s="67">
        <f>A_SoftHead*Headcount!AL21</f>
        <v>1199.9999999999984</v>
      </c>
    </row>
    <row r="30" spans="1:42" x14ac:dyDescent="0.35">
      <c r="A30" s="33" t="s">
        <v>251</v>
      </c>
      <c r="B30" s="34" t="s">
        <v>144</v>
      </c>
      <c r="C30" s="58">
        <f t="shared" ref="C30:AL30" si="8">A_TravelPct/2*C26</f>
        <v>568.4861111111112</v>
      </c>
      <c r="D30" s="58">
        <f t="shared" si="8"/>
        <v>577.80555555555566</v>
      </c>
      <c r="E30" s="58">
        <f t="shared" si="8"/>
        <v>587.125</v>
      </c>
      <c r="F30" s="58">
        <f t="shared" si="8"/>
        <v>596.44444444444446</v>
      </c>
      <c r="G30" s="58">
        <f t="shared" si="8"/>
        <v>605.7638888888888</v>
      </c>
      <c r="H30" s="58">
        <f t="shared" si="8"/>
        <v>615.08333333333326</v>
      </c>
      <c r="I30" s="58">
        <f t="shared" si="8"/>
        <v>624.40277777777771</v>
      </c>
      <c r="J30" s="58">
        <f t="shared" si="8"/>
        <v>633.72222222222217</v>
      </c>
      <c r="K30" s="58">
        <f t="shared" si="8"/>
        <v>643.04166666666663</v>
      </c>
      <c r="L30" s="58">
        <f t="shared" si="8"/>
        <v>652.36111111111097</v>
      </c>
      <c r="M30" s="58">
        <f t="shared" si="8"/>
        <v>661.68055555555554</v>
      </c>
      <c r="N30" s="58">
        <f t="shared" si="8"/>
        <v>670.99999999999989</v>
      </c>
      <c r="O30" s="58">
        <f t="shared" si="8"/>
        <v>707.532222222222</v>
      </c>
      <c r="P30" s="58">
        <f t="shared" si="8"/>
        <v>717.22444444444409</v>
      </c>
      <c r="Q30" s="58">
        <f t="shared" si="8"/>
        <v>726.91666666666629</v>
      </c>
      <c r="R30" s="58">
        <f t="shared" si="8"/>
        <v>736.6088888888886</v>
      </c>
      <c r="S30" s="58">
        <f t="shared" si="8"/>
        <v>746.30111111111069</v>
      </c>
      <c r="T30" s="58">
        <f t="shared" si="8"/>
        <v>755.99333333333288</v>
      </c>
      <c r="U30" s="58">
        <f t="shared" si="8"/>
        <v>765.6855555555552</v>
      </c>
      <c r="V30" s="58">
        <f t="shared" si="8"/>
        <v>775.37777777777728</v>
      </c>
      <c r="W30" s="58">
        <f t="shared" si="8"/>
        <v>785.0699999999996</v>
      </c>
      <c r="X30" s="58">
        <f t="shared" si="8"/>
        <v>794.76222222222179</v>
      </c>
      <c r="Y30" s="58">
        <f t="shared" si="8"/>
        <v>804.45444444444377</v>
      </c>
      <c r="Z30" s="58">
        <f t="shared" si="8"/>
        <v>814.14666666666619</v>
      </c>
      <c r="AA30" s="58">
        <f t="shared" si="8"/>
        <v>856.79244444444384</v>
      </c>
      <c r="AB30" s="58">
        <f t="shared" si="8"/>
        <v>866.87235555555503</v>
      </c>
      <c r="AC30" s="58">
        <f t="shared" si="8"/>
        <v>876.95226666666588</v>
      </c>
      <c r="AD30" s="58">
        <f t="shared" si="8"/>
        <v>887.03217777777718</v>
      </c>
      <c r="AE30" s="58">
        <f t="shared" si="8"/>
        <v>897.11208888888814</v>
      </c>
      <c r="AF30" s="58">
        <f t="shared" si="8"/>
        <v>907.1919999999991</v>
      </c>
      <c r="AG30" s="58">
        <f t="shared" si="8"/>
        <v>917.27191111111028</v>
      </c>
      <c r="AH30" s="58">
        <f t="shared" si="8"/>
        <v>927.35182222222136</v>
      </c>
      <c r="AI30" s="58">
        <f t="shared" si="8"/>
        <v>937.43173333333243</v>
      </c>
      <c r="AJ30" s="58">
        <f t="shared" si="8"/>
        <v>947.5116444444435</v>
      </c>
      <c r="AK30" s="58">
        <f t="shared" si="8"/>
        <v>957.59155555555469</v>
      </c>
      <c r="AL30" s="58">
        <f t="shared" si="8"/>
        <v>967.67146666666565</v>
      </c>
    </row>
    <row r="31" spans="1:42" x14ac:dyDescent="0.35">
      <c r="A31" s="59" t="s">
        <v>256</v>
      </c>
      <c r="B31" s="60" t="s">
        <v>144</v>
      </c>
      <c r="C31" s="61">
        <f t="shared" ref="C31:AL31" si="9">SUM(C26:C30)</f>
        <v>106629.59722222223</v>
      </c>
      <c r="D31" s="61">
        <f t="shared" si="9"/>
        <v>108033.36111111112</v>
      </c>
      <c r="E31" s="61">
        <f t="shared" si="9"/>
        <v>109437.125</v>
      </c>
      <c r="F31" s="61">
        <f t="shared" si="9"/>
        <v>110840.88888888888</v>
      </c>
      <c r="G31" s="61">
        <f t="shared" si="9"/>
        <v>112244.65277777777</v>
      </c>
      <c r="H31" s="61">
        <f t="shared" si="9"/>
        <v>113648.41666666664</v>
      </c>
      <c r="I31" s="61">
        <f t="shared" si="9"/>
        <v>115052.18055555556</v>
      </c>
      <c r="J31" s="61">
        <f t="shared" si="9"/>
        <v>116455.94444444444</v>
      </c>
      <c r="K31" s="61">
        <f t="shared" si="9"/>
        <v>117859.70833333333</v>
      </c>
      <c r="L31" s="61">
        <f t="shared" si="9"/>
        <v>119263.4722222222</v>
      </c>
      <c r="M31" s="61">
        <f t="shared" si="9"/>
        <v>120667.23611111111</v>
      </c>
      <c r="N31" s="61">
        <f t="shared" si="9"/>
        <v>122070.99999999999</v>
      </c>
      <c r="O31" s="61">
        <f t="shared" si="9"/>
        <v>127723.25444444442</v>
      </c>
      <c r="P31" s="61">
        <f t="shared" si="9"/>
        <v>129164.66888888885</v>
      </c>
      <c r="Q31" s="61">
        <f t="shared" si="9"/>
        <v>130606.0833333333</v>
      </c>
      <c r="R31" s="61">
        <f t="shared" si="9"/>
        <v>132047.49777777772</v>
      </c>
      <c r="S31" s="61">
        <f t="shared" si="9"/>
        <v>133488.91222222216</v>
      </c>
      <c r="T31" s="61">
        <f t="shared" si="9"/>
        <v>134930.32666666663</v>
      </c>
      <c r="U31" s="61">
        <f t="shared" si="9"/>
        <v>136371.74111111107</v>
      </c>
      <c r="V31" s="61">
        <f t="shared" si="9"/>
        <v>137813.15555555551</v>
      </c>
      <c r="W31" s="61">
        <f t="shared" si="9"/>
        <v>139254.56999999995</v>
      </c>
      <c r="X31" s="61">
        <f t="shared" si="9"/>
        <v>140695.98444444442</v>
      </c>
      <c r="Y31" s="61">
        <f t="shared" si="9"/>
        <v>142137.39888888883</v>
      </c>
      <c r="Z31" s="61">
        <f t="shared" si="9"/>
        <v>143578.81333333327</v>
      </c>
      <c r="AA31" s="61">
        <f t="shared" si="9"/>
        <v>149923.5368888888</v>
      </c>
      <c r="AB31" s="61">
        <f t="shared" si="9"/>
        <v>151404.10791111106</v>
      </c>
      <c r="AC31" s="61">
        <f t="shared" si="9"/>
        <v>152884.67893333323</v>
      </c>
      <c r="AD31" s="61">
        <f t="shared" si="9"/>
        <v>154365.24995555548</v>
      </c>
      <c r="AE31" s="61">
        <f t="shared" si="9"/>
        <v>155845.82097777768</v>
      </c>
      <c r="AF31" s="61">
        <f t="shared" si="9"/>
        <v>157326.39199999991</v>
      </c>
      <c r="AG31" s="61">
        <f t="shared" si="9"/>
        <v>158806.96302222213</v>
      </c>
      <c r="AH31" s="61">
        <f t="shared" si="9"/>
        <v>160287.53404444436</v>
      </c>
      <c r="AI31" s="61">
        <f t="shared" si="9"/>
        <v>161768.10506666655</v>
      </c>
      <c r="AJ31" s="61">
        <f t="shared" si="9"/>
        <v>163248.67608888881</v>
      </c>
      <c r="AK31" s="61">
        <f t="shared" si="9"/>
        <v>164729.24711111101</v>
      </c>
      <c r="AL31" s="61">
        <f t="shared" si="9"/>
        <v>166209.8181333332</v>
      </c>
    </row>
    <row r="33" spans="1:42" x14ac:dyDescent="0.35">
      <c r="A33" s="68" t="s">
        <v>257</v>
      </c>
      <c r="B33" s="60" t="s">
        <v>144</v>
      </c>
      <c r="C33" s="61">
        <f t="shared" ref="C33:AL33" si="10">C17+C23+C31</f>
        <v>665634.07227777783</v>
      </c>
      <c r="D33" s="61">
        <f t="shared" si="10"/>
        <v>677661.4632222224</v>
      </c>
      <c r="E33" s="61">
        <f t="shared" si="10"/>
        <v>689688.85416666674</v>
      </c>
      <c r="F33" s="61">
        <f t="shared" si="10"/>
        <v>701716.2451111112</v>
      </c>
      <c r="G33" s="61">
        <f t="shared" si="10"/>
        <v>713743.63605555566</v>
      </c>
      <c r="H33" s="61">
        <f t="shared" si="10"/>
        <v>725771.027</v>
      </c>
      <c r="I33" s="61">
        <f t="shared" si="10"/>
        <v>737798.41794444458</v>
      </c>
      <c r="J33" s="61">
        <f t="shared" si="10"/>
        <v>749825.80888888915</v>
      </c>
      <c r="K33" s="61">
        <f t="shared" si="10"/>
        <v>761853.19983333361</v>
      </c>
      <c r="L33" s="61">
        <f t="shared" si="10"/>
        <v>773880.59077777795</v>
      </c>
      <c r="M33" s="61">
        <f t="shared" si="10"/>
        <v>785907.98172222229</v>
      </c>
      <c r="N33" s="61">
        <f t="shared" si="10"/>
        <v>797935.37266666675</v>
      </c>
      <c r="O33" s="61">
        <f t="shared" si="10"/>
        <v>864425.13065777801</v>
      </c>
      <c r="P33" s="61">
        <f t="shared" si="10"/>
        <v>875945.47374222218</v>
      </c>
      <c r="Q33" s="61">
        <f t="shared" si="10"/>
        <v>887465.81682666671</v>
      </c>
      <c r="R33" s="61">
        <f t="shared" si="10"/>
        <v>898986.15991111123</v>
      </c>
      <c r="S33" s="61">
        <f t="shared" si="10"/>
        <v>910506.50299555564</v>
      </c>
      <c r="T33" s="61">
        <f t="shared" si="10"/>
        <v>922026.84608000016</v>
      </c>
      <c r="U33" s="61">
        <f t="shared" si="10"/>
        <v>933547.18916444457</v>
      </c>
      <c r="V33" s="61">
        <f t="shared" si="10"/>
        <v>945067.53224888886</v>
      </c>
      <c r="W33" s="61">
        <f t="shared" si="10"/>
        <v>956587.87533333339</v>
      </c>
      <c r="X33" s="61">
        <f t="shared" si="10"/>
        <v>968108.2184177778</v>
      </c>
      <c r="Y33" s="61">
        <f t="shared" si="10"/>
        <v>979628.5615022222</v>
      </c>
      <c r="Z33" s="61">
        <f t="shared" si="10"/>
        <v>991148.90458666673</v>
      </c>
      <c r="AA33" s="61">
        <f t="shared" si="10"/>
        <v>1070331.0175779555</v>
      </c>
      <c r="AB33" s="61">
        <f t="shared" si="10"/>
        <v>1082288.1743857779</v>
      </c>
      <c r="AC33" s="61">
        <f t="shared" si="10"/>
        <v>1094245.3311936001</v>
      </c>
      <c r="AD33" s="61">
        <f t="shared" si="10"/>
        <v>1106202.4880014223</v>
      </c>
      <c r="AE33" s="61">
        <f t="shared" si="10"/>
        <v>1118159.6448092447</v>
      </c>
      <c r="AF33" s="61">
        <f t="shared" si="10"/>
        <v>1130116.8016170666</v>
      </c>
      <c r="AG33" s="61">
        <f t="shared" si="10"/>
        <v>1142073.9584248888</v>
      </c>
      <c r="AH33" s="61">
        <f t="shared" si="10"/>
        <v>1154031.1152327112</v>
      </c>
      <c r="AI33" s="61">
        <f t="shared" si="10"/>
        <v>1165988.2720405334</v>
      </c>
      <c r="AJ33" s="61">
        <f t="shared" si="10"/>
        <v>1177945.4288483558</v>
      </c>
      <c r="AK33" s="61">
        <f t="shared" si="10"/>
        <v>1189902.585656178</v>
      </c>
      <c r="AL33" s="61">
        <f t="shared" si="10"/>
        <v>1201859.7424640001</v>
      </c>
    </row>
    <row r="35" spans="1:42" x14ac:dyDescent="0.35">
      <c r="A35" s="31" t="s">
        <v>258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</row>
    <row r="36" spans="1:42" x14ac:dyDescent="0.35">
      <c r="A36" s="33" t="s">
        <v>259</v>
      </c>
      <c r="B36" s="34" t="s">
        <v>144</v>
      </c>
      <c r="C36" s="58">
        <f t="shared" ref="C36:AL36" si="11">A_Capex</f>
        <v>40000</v>
      </c>
      <c r="D36" s="58">
        <f t="shared" si="11"/>
        <v>40000</v>
      </c>
      <c r="E36" s="58">
        <f t="shared" si="11"/>
        <v>40000</v>
      </c>
      <c r="F36" s="58">
        <f t="shared" si="11"/>
        <v>40000</v>
      </c>
      <c r="G36" s="58">
        <f t="shared" si="11"/>
        <v>40000</v>
      </c>
      <c r="H36" s="58">
        <f t="shared" si="11"/>
        <v>40000</v>
      </c>
      <c r="I36" s="58">
        <f t="shared" si="11"/>
        <v>40000</v>
      </c>
      <c r="J36" s="58">
        <f t="shared" si="11"/>
        <v>40000</v>
      </c>
      <c r="K36" s="58">
        <f t="shared" si="11"/>
        <v>40000</v>
      </c>
      <c r="L36" s="58">
        <f t="shared" si="11"/>
        <v>40000</v>
      </c>
      <c r="M36" s="58">
        <f t="shared" si="11"/>
        <v>40000</v>
      </c>
      <c r="N36" s="58">
        <f t="shared" si="11"/>
        <v>40000</v>
      </c>
      <c r="O36" s="58">
        <f t="shared" si="11"/>
        <v>40000</v>
      </c>
      <c r="P36" s="58">
        <f t="shared" si="11"/>
        <v>40000</v>
      </c>
      <c r="Q36" s="58">
        <f t="shared" si="11"/>
        <v>40000</v>
      </c>
      <c r="R36" s="58">
        <f t="shared" si="11"/>
        <v>40000</v>
      </c>
      <c r="S36" s="58">
        <f t="shared" si="11"/>
        <v>40000</v>
      </c>
      <c r="T36" s="58">
        <f t="shared" si="11"/>
        <v>40000</v>
      </c>
      <c r="U36" s="58">
        <f t="shared" si="11"/>
        <v>40000</v>
      </c>
      <c r="V36" s="58">
        <f t="shared" si="11"/>
        <v>40000</v>
      </c>
      <c r="W36" s="58">
        <f t="shared" si="11"/>
        <v>40000</v>
      </c>
      <c r="X36" s="58">
        <f t="shared" si="11"/>
        <v>40000</v>
      </c>
      <c r="Y36" s="58">
        <f t="shared" si="11"/>
        <v>40000</v>
      </c>
      <c r="Z36" s="58">
        <f t="shared" si="11"/>
        <v>40000</v>
      </c>
      <c r="AA36" s="58">
        <f t="shared" si="11"/>
        <v>40000</v>
      </c>
      <c r="AB36" s="58">
        <f t="shared" si="11"/>
        <v>40000</v>
      </c>
      <c r="AC36" s="58">
        <f t="shared" si="11"/>
        <v>40000</v>
      </c>
      <c r="AD36" s="58">
        <f t="shared" si="11"/>
        <v>40000</v>
      </c>
      <c r="AE36" s="58">
        <f t="shared" si="11"/>
        <v>40000</v>
      </c>
      <c r="AF36" s="58">
        <f t="shared" si="11"/>
        <v>40000</v>
      </c>
      <c r="AG36" s="58">
        <f t="shared" si="11"/>
        <v>40000</v>
      </c>
      <c r="AH36" s="58">
        <f t="shared" si="11"/>
        <v>40000</v>
      </c>
      <c r="AI36" s="58">
        <f t="shared" si="11"/>
        <v>40000</v>
      </c>
      <c r="AJ36" s="58">
        <f t="shared" si="11"/>
        <v>40000</v>
      </c>
      <c r="AK36" s="58">
        <f t="shared" si="11"/>
        <v>40000</v>
      </c>
      <c r="AL36" s="58">
        <f t="shared" si="11"/>
        <v>40000</v>
      </c>
    </row>
    <row r="37" spans="1:42" x14ac:dyDescent="0.35">
      <c r="A37" s="33" t="s">
        <v>260</v>
      </c>
      <c r="B37" s="34" t="s">
        <v>144</v>
      </c>
      <c r="C37" s="58">
        <f>SUM($C$36:C36)/A_Life</f>
        <v>1111.1111111111111</v>
      </c>
      <c r="D37" s="58">
        <f>SUM($C$36:D36)/A_Life</f>
        <v>2222.2222222222222</v>
      </c>
      <c r="E37" s="58">
        <f>SUM($C$36:E36)/A_Life</f>
        <v>3333.3333333333335</v>
      </c>
      <c r="F37" s="58">
        <f>SUM($C$36:F36)/A_Life</f>
        <v>4444.4444444444443</v>
      </c>
      <c r="G37" s="58">
        <f>SUM($C$36:G36)/A_Life</f>
        <v>5555.5555555555557</v>
      </c>
      <c r="H37" s="58">
        <f>SUM($C$36:H36)/A_Life</f>
        <v>6666.666666666667</v>
      </c>
      <c r="I37" s="58">
        <f>SUM($C$36:I36)/A_Life</f>
        <v>7777.7777777777774</v>
      </c>
      <c r="J37" s="58">
        <f>SUM($C$36:J36)/A_Life</f>
        <v>8888.8888888888887</v>
      </c>
      <c r="K37" s="58">
        <f>SUM($C$36:K36)/A_Life</f>
        <v>10000</v>
      </c>
      <c r="L37" s="58">
        <f>SUM($C$36:L36)/A_Life</f>
        <v>11111.111111111111</v>
      </c>
      <c r="M37" s="58">
        <f>SUM($C$36:M36)/A_Life</f>
        <v>12222.222222222223</v>
      </c>
      <c r="N37" s="58">
        <f>SUM($C$36:N36)/A_Life</f>
        <v>13333.333333333334</v>
      </c>
      <c r="O37" s="58">
        <f>SUM($C$36:O36)/A_Life</f>
        <v>14444.444444444445</v>
      </c>
      <c r="P37" s="58">
        <f>SUM($C$36:P36)/A_Life</f>
        <v>15555.555555555555</v>
      </c>
      <c r="Q37" s="58">
        <f>SUM($C$36:Q36)/A_Life</f>
        <v>16666.666666666668</v>
      </c>
      <c r="R37" s="58">
        <f>SUM($C$36:R36)/A_Life</f>
        <v>17777.777777777777</v>
      </c>
      <c r="S37" s="58">
        <f>SUM($C$36:S36)/A_Life</f>
        <v>18888.888888888891</v>
      </c>
      <c r="T37" s="58">
        <f>SUM($C$36:T36)/A_Life</f>
        <v>20000</v>
      </c>
      <c r="U37" s="58">
        <f>SUM($C$36:U36)/A_Life</f>
        <v>21111.111111111109</v>
      </c>
      <c r="V37" s="58">
        <f>SUM($C$36:V36)/A_Life</f>
        <v>22222.222222222223</v>
      </c>
      <c r="W37" s="58">
        <f>SUM($C$36:W36)/A_Life</f>
        <v>23333.333333333332</v>
      </c>
      <c r="X37" s="58">
        <f>SUM($C$36:X36)/A_Life</f>
        <v>24444.444444444445</v>
      </c>
      <c r="Y37" s="58">
        <f>SUM($C$36:Y36)/A_Life</f>
        <v>25555.555555555555</v>
      </c>
      <c r="Z37" s="58">
        <f>SUM($C$36:Z36)/A_Life</f>
        <v>26666.666666666668</v>
      </c>
      <c r="AA37" s="58">
        <f>SUM($C$36:AA36)/A_Life</f>
        <v>27777.777777777777</v>
      </c>
      <c r="AB37" s="58">
        <f>SUM($C$36:AB36)/A_Life</f>
        <v>28888.888888888891</v>
      </c>
      <c r="AC37" s="58">
        <f>SUM($C$36:AC36)/A_Life</f>
        <v>30000</v>
      </c>
      <c r="AD37" s="58">
        <f>SUM($C$36:AD36)/A_Life</f>
        <v>31111.111111111109</v>
      </c>
      <c r="AE37" s="58">
        <f>SUM($C$36:AE36)/A_Life</f>
        <v>32222.222222222223</v>
      </c>
      <c r="AF37" s="58">
        <f>SUM($C$36:AF36)/A_Life</f>
        <v>33333.333333333336</v>
      </c>
      <c r="AG37" s="58">
        <f>SUM($C$36:AG36)/A_Life</f>
        <v>34444.444444444445</v>
      </c>
      <c r="AH37" s="58">
        <f>SUM($C$36:AH36)/A_Life</f>
        <v>35555.555555555555</v>
      </c>
      <c r="AI37" s="58">
        <f>SUM($C$36:AI36)/A_Life</f>
        <v>36666.666666666664</v>
      </c>
      <c r="AJ37" s="58">
        <f>SUM($C$36:AJ36)/A_Life</f>
        <v>37777.777777777781</v>
      </c>
      <c r="AK37" s="58">
        <f>SUM($C$36:AK36)/A_Life</f>
        <v>38888.888888888891</v>
      </c>
      <c r="AL37" s="58">
        <f>SUM($C$36:AL36)/A_Life</f>
        <v>40000</v>
      </c>
    </row>
    <row r="39" spans="1:42" ht="24" customHeight="1" x14ac:dyDescent="0.35">
      <c r="A39" s="64" t="s">
        <v>261</v>
      </c>
    </row>
  </sheetData>
  <hyperlinks>
    <hyperlink ref="E1" r:id="rId1" location="Cover!A1" xr:uid="{00000000-0004-0000-0600-000000000000}"/>
  </hyperlinks>
  <pageMargins left="0.75" right="0.75" top="1" bottom="1" header="0.5" footer="0.5"/>
  <pageSetup fitToHeight="0" orientation="landscape" horizontalDpi="300" verticalDpi="300"/>
  <headerFooter>
    <oddHeader>&amp;LNovaFlow Analytics&amp;ROperating Expenses</oddHeader>
    <oddFooter>&amp;LFP&amp;&amp;A Planning Model v1.0&amp;CConfidential&amp;RPage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03040"/>
    <pageSetUpPr fitToPage="1"/>
  </sheetPr>
  <dimension ref="A1:AP29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7" sqref="E7"/>
    </sheetView>
  </sheetViews>
  <sheetFormatPr defaultColWidth="8.6328125" defaultRowHeight="14.5" x14ac:dyDescent="0.35"/>
  <cols>
    <col min="1" max="1" width="36" customWidth="1"/>
    <col min="2" max="2" width="9" customWidth="1"/>
    <col min="3" max="38" width="11.453125" customWidth="1"/>
    <col min="39" max="39" width="2" customWidth="1"/>
    <col min="40" max="42" width="13.453125" customWidth="1"/>
  </cols>
  <sheetData>
    <row r="1" spans="1:42" ht="13.5" customHeight="1" x14ac:dyDescent="0.35">
      <c r="A1" s="13" t="s">
        <v>0</v>
      </c>
      <c r="B1" s="14"/>
      <c r="C1" s="14"/>
      <c r="D1" s="14"/>
      <c r="E1" s="15" t="s">
        <v>34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 spans="1:42" ht="21.75" customHeight="1" x14ac:dyDescent="0.45">
      <c r="A2" s="16" t="s">
        <v>22</v>
      </c>
      <c r="B2" s="14"/>
      <c r="C2" s="14"/>
      <c r="D2" s="14"/>
      <c r="E2" s="17" t="s">
        <v>262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ht="3.75" customHeigh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</row>
    <row r="5" spans="1:42" x14ac:dyDescent="0.35">
      <c r="A5" s="54" t="s">
        <v>198</v>
      </c>
      <c r="C5" s="55">
        <f>ModelStart</f>
        <v>46023</v>
      </c>
      <c r="D5" s="55">
        <f t="shared" ref="D5:AL5" si="0">EDATE(C5,1)</f>
        <v>46054</v>
      </c>
      <c r="E5" s="55">
        <f t="shared" si="0"/>
        <v>46082</v>
      </c>
      <c r="F5" s="55">
        <f t="shared" si="0"/>
        <v>46113</v>
      </c>
      <c r="G5" s="55">
        <f t="shared" si="0"/>
        <v>46143</v>
      </c>
      <c r="H5" s="55">
        <f t="shared" si="0"/>
        <v>46174</v>
      </c>
      <c r="I5" s="55">
        <f t="shared" si="0"/>
        <v>46204</v>
      </c>
      <c r="J5" s="55">
        <f t="shared" si="0"/>
        <v>46235</v>
      </c>
      <c r="K5" s="55">
        <f t="shared" si="0"/>
        <v>46266</v>
      </c>
      <c r="L5" s="55">
        <f t="shared" si="0"/>
        <v>46296</v>
      </c>
      <c r="M5" s="55">
        <f t="shared" si="0"/>
        <v>46327</v>
      </c>
      <c r="N5" s="55">
        <f t="shared" si="0"/>
        <v>46357</v>
      </c>
      <c r="O5" s="55">
        <f t="shared" si="0"/>
        <v>46388</v>
      </c>
      <c r="P5" s="55">
        <f t="shared" si="0"/>
        <v>46419</v>
      </c>
      <c r="Q5" s="55">
        <f t="shared" si="0"/>
        <v>46447</v>
      </c>
      <c r="R5" s="55">
        <f t="shared" si="0"/>
        <v>46478</v>
      </c>
      <c r="S5" s="55">
        <f t="shared" si="0"/>
        <v>46508</v>
      </c>
      <c r="T5" s="55">
        <f t="shared" si="0"/>
        <v>46539</v>
      </c>
      <c r="U5" s="55">
        <f t="shared" si="0"/>
        <v>46569</v>
      </c>
      <c r="V5" s="55">
        <f t="shared" si="0"/>
        <v>46600</v>
      </c>
      <c r="W5" s="55">
        <f t="shared" si="0"/>
        <v>46631</v>
      </c>
      <c r="X5" s="55">
        <f t="shared" si="0"/>
        <v>46661</v>
      </c>
      <c r="Y5" s="55">
        <f t="shared" si="0"/>
        <v>46692</v>
      </c>
      <c r="Z5" s="55">
        <f t="shared" si="0"/>
        <v>46722</v>
      </c>
      <c r="AA5" s="55">
        <f t="shared" si="0"/>
        <v>46753</v>
      </c>
      <c r="AB5" s="55">
        <f t="shared" si="0"/>
        <v>46784</v>
      </c>
      <c r="AC5" s="55">
        <f t="shared" si="0"/>
        <v>46813</v>
      </c>
      <c r="AD5" s="55">
        <f t="shared" si="0"/>
        <v>46844</v>
      </c>
      <c r="AE5" s="55">
        <f t="shared" si="0"/>
        <v>46874</v>
      </c>
      <c r="AF5" s="55">
        <f t="shared" si="0"/>
        <v>46905</v>
      </c>
      <c r="AG5" s="55">
        <f t="shared" si="0"/>
        <v>46935</v>
      </c>
      <c r="AH5" s="55">
        <f t="shared" si="0"/>
        <v>46966</v>
      </c>
      <c r="AI5" s="55">
        <f t="shared" si="0"/>
        <v>46997</v>
      </c>
      <c r="AJ5" s="55">
        <f t="shared" si="0"/>
        <v>47027</v>
      </c>
      <c r="AK5" s="55">
        <f t="shared" si="0"/>
        <v>47058</v>
      </c>
      <c r="AL5" s="55">
        <f t="shared" si="0"/>
        <v>47088</v>
      </c>
      <c r="AN5" s="69" t="s">
        <v>263</v>
      </c>
      <c r="AO5" s="69" t="s">
        <v>264</v>
      </c>
      <c r="AP5" s="69" t="s">
        <v>265</v>
      </c>
    </row>
    <row r="7" spans="1:42" x14ac:dyDescent="0.35">
      <c r="A7" s="54" t="s">
        <v>266</v>
      </c>
      <c r="B7" s="34" t="s">
        <v>144</v>
      </c>
      <c r="C7" s="67">
        <f>'Revenue Model'!C36</f>
        <v>358076</v>
      </c>
      <c r="D7" s="67">
        <f>'Revenue Model'!D36</f>
        <v>383221.74499046785</v>
      </c>
      <c r="E7" s="67">
        <f>'Revenue Model'!E36</f>
        <v>408438.45977406448</v>
      </c>
      <c r="F7" s="67">
        <f>'Revenue Model'!F36</f>
        <v>433727.36967981653</v>
      </c>
      <c r="G7" s="67">
        <f>'Revenue Model'!G36</f>
        <v>459089.7006151487</v>
      </c>
      <c r="H7" s="67">
        <f>'Revenue Model'!H36</f>
        <v>484526.6791177956</v>
      </c>
      <c r="I7" s="67">
        <f>'Revenue Model'!I36</f>
        <v>510039.53240759694</v>
      </c>
      <c r="J7" s="67">
        <f>'Revenue Model'!J36</f>
        <v>535629.48843817716</v>
      </c>
      <c r="K7" s="67">
        <f>'Revenue Model'!K36</f>
        <v>561297.7759485133</v>
      </c>
      <c r="L7" s="67">
        <f>'Revenue Model'!L36</f>
        <v>587045.62451439153</v>
      </c>
      <c r="M7" s="67">
        <f>'Revenue Model'!M36</f>
        <v>612874.26459975762</v>
      </c>
      <c r="N7" s="67">
        <f>'Revenue Model'!N36</f>
        <v>638784.92760796123</v>
      </c>
      <c r="O7" s="67">
        <f>'Revenue Model'!O36</f>
        <v>664778.84593289811</v>
      </c>
      <c r="P7" s="67">
        <f>'Revenue Model'!P36</f>
        <v>690857.25301005086</v>
      </c>
      <c r="Q7" s="67">
        <f>'Revenue Model'!Q36</f>
        <v>717021.38336743379</v>
      </c>
      <c r="R7" s="67">
        <f>'Revenue Model'!R36</f>
        <v>743272.47267643991</v>
      </c>
      <c r="S7" s="67">
        <f>'Revenue Model'!S36</f>
        <v>769611.75780259608</v>
      </c>
      <c r="T7" s="67">
        <f>'Revenue Model'!T36</f>
        <v>796040.47685622796</v>
      </c>
      <c r="U7" s="67">
        <f>'Revenue Model'!U36</f>
        <v>822559.86924303416</v>
      </c>
      <c r="V7" s="67">
        <f>'Revenue Model'!V36</f>
        <v>849171.17571457732</v>
      </c>
      <c r="W7" s="67">
        <f>'Revenue Model'!W36</f>
        <v>875875.6384186889</v>
      </c>
      <c r="X7" s="67">
        <f>'Revenue Model'!X36</f>
        <v>902674.50094979373</v>
      </c>
      <c r="Y7" s="67">
        <f>'Revenue Model'!Y36</f>
        <v>929569.00839915546</v>
      </c>
      <c r="Z7" s="67">
        <f>'Revenue Model'!Z36</f>
        <v>956560.40740504442</v>
      </c>
      <c r="AA7" s="67">
        <f>'Revenue Model'!AA36</f>
        <v>983649.94620283274</v>
      </c>
      <c r="AB7" s="67">
        <f>'Revenue Model'!AB36</f>
        <v>1010838.8746750138</v>
      </c>
      <c r="AC7" s="67">
        <f>'Revenue Model'!AC36</f>
        <v>1038128.4444011556</v>
      </c>
      <c r="AD7" s="67">
        <f>'Revenue Model'!AD36</f>
        <v>1065519.908707784</v>
      </c>
      <c r="AE7" s="67">
        <f>'Revenue Model'!AE36</f>
        <v>1093014.5227182005</v>
      </c>
      <c r="AF7" s="67">
        <f>'Revenue Model'!AF36</f>
        <v>1120613.543402239</v>
      </c>
      <c r="AG7" s="67">
        <f>'Revenue Model'!AG36</f>
        <v>1148318.2296259585</v>
      </c>
      <c r="AH7" s="67">
        <f>'Revenue Model'!AH36</f>
        <v>1176129.8422012785</v>
      </c>
      <c r="AI7" s="67">
        <f>'Revenue Model'!AI36</f>
        <v>1204049.6439355598</v>
      </c>
      <c r="AJ7" s="67">
        <f>'Revenue Model'!AJ36</f>
        <v>1232078.8996811262</v>
      </c>
      <c r="AK7" s="67">
        <f>'Revenue Model'!AK36</f>
        <v>1260218.8763847393</v>
      </c>
      <c r="AL7" s="67">
        <f>'Revenue Model'!AL36</f>
        <v>1288470.84313702</v>
      </c>
      <c r="AN7" s="58">
        <f>SUM(C7:N7)</f>
        <v>5972751.5676936908</v>
      </c>
      <c r="AO7" s="58">
        <f>SUM(O7:Z7)</f>
        <v>9717992.7897759415</v>
      </c>
      <c r="AP7" s="58">
        <f>SUM(AA7:AL7)</f>
        <v>13621031.575072909</v>
      </c>
    </row>
    <row r="8" spans="1:42" x14ac:dyDescent="0.35">
      <c r="A8" s="33" t="s">
        <v>267</v>
      </c>
      <c r="B8" s="34" t="s">
        <v>144</v>
      </c>
      <c r="C8" s="67">
        <f>'Operating Expenses'!C10</f>
        <v>69735.740000000005</v>
      </c>
      <c r="D8" s="67">
        <f>'Operating Expenses'!D10</f>
        <v>72871.157049142115</v>
      </c>
      <c r="E8" s="67">
        <f>'Operating Expenses'!E10</f>
        <v>76012.961379665823</v>
      </c>
      <c r="F8" s="67">
        <f>'Operating Expenses'!F10</f>
        <v>79161.263271183503</v>
      </c>
      <c r="G8" s="67">
        <f>'Operating Expenses'!G10</f>
        <v>82316.173055363412</v>
      </c>
      <c r="H8" s="67">
        <f>'Operating Expenses'!H10</f>
        <v>85477.801120601624</v>
      </c>
      <c r="I8" s="67">
        <f>'Operating Expenses'!I10</f>
        <v>88646.257916683739</v>
      </c>
      <c r="J8" s="67">
        <f>'Operating Expenses'!J10</f>
        <v>91821.653959435949</v>
      </c>
      <c r="K8" s="67">
        <f>'Operating Expenses'!K10</f>
        <v>95004.099835366214</v>
      </c>
      <c r="L8" s="67">
        <f>'Operating Expenses'!L10</f>
        <v>98193.706206295246</v>
      </c>
      <c r="M8" s="67">
        <f>'Operating Expenses'!M10</f>
        <v>101390.58381397818</v>
      </c>
      <c r="N8" s="67">
        <f>'Operating Expenses'!N10</f>
        <v>104594.8434847165</v>
      </c>
      <c r="O8" s="67">
        <f>'Operating Expenses'!O10</f>
        <v>110179.25213396084</v>
      </c>
      <c r="P8" s="67">
        <f>'Operating Expenses'!P10</f>
        <v>113887.09677090458</v>
      </c>
      <c r="Q8" s="67">
        <f>'Operating Expenses'!Q10</f>
        <v>117602.65650306904</v>
      </c>
      <c r="R8" s="67">
        <f>'Operating Expenses'!R10</f>
        <v>121326.0425408796</v>
      </c>
      <c r="S8" s="67">
        <f>'Operating Expenses'!S10</f>
        <v>125057.36620223365</v>
      </c>
      <c r="T8" s="67">
        <f>'Operating Expenses'!T10</f>
        <v>128796.73891706052</v>
      </c>
      <c r="U8" s="67">
        <f>'Operating Expenses'!U10</f>
        <v>132544.27223187307</v>
      </c>
      <c r="V8" s="67">
        <f>'Operating Expenses'!V10</f>
        <v>136300.07781431195</v>
      </c>
      <c r="W8" s="67">
        <f>'Operating Expenses'!W10</f>
        <v>140064.267457682</v>
      </c>
      <c r="X8" s="67">
        <f>'Operating Expenses'!X10</f>
        <v>143836.95308548142</v>
      </c>
      <c r="Y8" s="67">
        <f>'Operating Expenses'!Y10</f>
        <v>147618.24675592399</v>
      </c>
      <c r="Z8" s="67">
        <f>'Operating Expenses'!Z10</f>
        <v>151408.26066645401</v>
      </c>
      <c r="AA8" s="67">
        <f>'Operating Expenses'!AA10</f>
        <v>157874.25163825497</v>
      </c>
      <c r="AB8" s="67">
        <f>'Operating Expenses'!AB10</f>
        <v>161736.47472075126</v>
      </c>
      <c r="AC8" s="67">
        <f>'Operating Expenses'!AC10</f>
        <v>165607.75551610399</v>
      </c>
      <c r="AD8" s="67">
        <f>'Operating Expenses'!AD10</f>
        <v>169488.20682370057</v>
      </c>
      <c r="AE8" s="67">
        <f>'Operating Expenses'!AE10</f>
        <v>173377.94160463806</v>
      </c>
      <c r="AF8" s="67">
        <f>'Operating Expenses'!AF10</f>
        <v>177277.0729862015</v>
      </c>
      <c r="AG8" s="67">
        <f>'Operating Expenses'!AG10</f>
        <v>181185.71426633626</v>
      </c>
      <c r="AH8" s="67">
        <f>'Operating Expenses'!AH10</f>
        <v>185103.97891811508</v>
      </c>
      <c r="AI8" s="67">
        <f>'Operating Expenses'!AI10</f>
        <v>189031.98059420037</v>
      </c>
      <c r="AJ8" s="67">
        <f>'Operating Expenses'!AJ10</f>
        <v>192969.83313130136</v>
      </c>
      <c r="AK8" s="67">
        <f>'Operating Expenses'!AK10</f>
        <v>196917.65055462654</v>
      </c>
      <c r="AL8" s="67">
        <f>'Operating Expenses'!AL10</f>
        <v>200875.54708233179</v>
      </c>
      <c r="AN8" s="58">
        <f>SUM(C8:N8)</f>
        <v>1045226.2410924323</v>
      </c>
      <c r="AO8" s="58">
        <f>SUM(O8:Z8)</f>
        <v>1568621.2310798345</v>
      </c>
      <c r="AP8" s="58">
        <f>SUM(AA8:AL8)</f>
        <v>2151446.4078365616</v>
      </c>
    </row>
    <row r="9" spans="1:42" x14ac:dyDescent="0.35">
      <c r="A9" s="68" t="s">
        <v>268</v>
      </c>
      <c r="B9" s="60" t="s">
        <v>144</v>
      </c>
      <c r="C9" s="61">
        <f t="shared" ref="C9:AL9" si="1">C7-C8</f>
        <v>288340.26</v>
      </c>
      <c r="D9" s="61">
        <f t="shared" si="1"/>
        <v>310350.58794132574</v>
      </c>
      <c r="E9" s="61">
        <f t="shared" si="1"/>
        <v>332425.49839439866</v>
      </c>
      <c r="F9" s="61">
        <f t="shared" si="1"/>
        <v>354566.10640863306</v>
      </c>
      <c r="G9" s="61">
        <f t="shared" si="1"/>
        <v>376773.52755978529</v>
      </c>
      <c r="H9" s="61">
        <f t="shared" si="1"/>
        <v>399048.87799719395</v>
      </c>
      <c r="I9" s="61">
        <f t="shared" si="1"/>
        <v>421393.2744909132</v>
      </c>
      <c r="J9" s="61">
        <f t="shared" si="1"/>
        <v>443807.83447874122</v>
      </c>
      <c r="K9" s="61">
        <f t="shared" si="1"/>
        <v>466293.67611314706</v>
      </c>
      <c r="L9" s="61">
        <f t="shared" si="1"/>
        <v>488851.9183080963</v>
      </c>
      <c r="M9" s="61">
        <f t="shared" si="1"/>
        <v>511483.68078577943</v>
      </c>
      <c r="N9" s="61">
        <f t="shared" si="1"/>
        <v>534190.08412324474</v>
      </c>
      <c r="O9" s="61">
        <f t="shared" si="1"/>
        <v>554599.59379893728</v>
      </c>
      <c r="P9" s="61">
        <f t="shared" si="1"/>
        <v>576970.15623914625</v>
      </c>
      <c r="Q9" s="61">
        <f t="shared" si="1"/>
        <v>599418.7268643647</v>
      </c>
      <c r="R9" s="61">
        <f t="shared" si="1"/>
        <v>621946.43013556034</v>
      </c>
      <c r="S9" s="61">
        <f t="shared" si="1"/>
        <v>644554.39160036249</v>
      </c>
      <c r="T9" s="61">
        <f t="shared" si="1"/>
        <v>667243.73793916742</v>
      </c>
      <c r="U9" s="61">
        <f t="shared" si="1"/>
        <v>690015.59701116104</v>
      </c>
      <c r="V9" s="61">
        <f t="shared" si="1"/>
        <v>712871.09790026536</v>
      </c>
      <c r="W9" s="61">
        <f t="shared" si="1"/>
        <v>735811.37096100696</v>
      </c>
      <c r="X9" s="61">
        <f t="shared" si="1"/>
        <v>758837.54786431231</v>
      </c>
      <c r="Y9" s="61">
        <f t="shared" si="1"/>
        <v>781950.7616432315</v>
      </c>
      <c r="Z9" s="61">
        <f t="shared" si="1"/>
        <v>805152.14673859044</v>
      </c>
      <c r="AA9" s="61">
        <f t="shared" si="1"/>
        <v>825775.69456457777</v>
      </c>
      <c r="AB9" s="61">
        <f t="shared" si="1"/>
        <v>849102.39995426254</v>
      </c>
      <c r="AC9" s="61">
        <f t="shared" si="1"/>
        <v>872520.68888505152</v>
      </c>
      <c r="AD9" s="61">
        <f t="shared" si="1"/>
        <v>896031.70188408345</v>
      </c>
      <c r="AE9" s="61">
        <f t="shared" si="1"/>
        <v>919636.58111356245</v>
      </c>
      <c r="AF9" s="61">
        <f t="shared" si="1"/>
        <v>943336.47041603748</v>
      </c>
      <c r="AG9" s="61">
        <f t="shared" si="1"/>
        <v>967132.51535962219</v>
      </c>
      <c r="AH9" s="61">
        <f t="shared" si="1"/>
        <v>991025.8632831634</v>
      </c>
      <c r="AI9" s="61">
        <f t="shared" si="1"/>
        <v>1015017.6633413595</v>
      </c>
      <c r="AJ9" s="61">
        <f t="shared" si="1"/>
        <v>1039109.0665498249</v>
      </c>
      <c r="AK9" s="61">
        <f t="shared" si="1"/>
        <v>1063301.2258301128</v>
      </c>
      <c r="AL9" s="61">
        <f t="shared" si="1"/>
        <v>1087595.2960546883</v>
      </c>
      <c r="AN9" s="62">
        <f>SUM(C9:N9)</f>
        <v>4927525.3266012585</v>
      </c>
      <c r="AO9" s="62">
        <f>SUM(O9:Z9)</f>
        <v>8149371.558696107</v>
      </c>
      <c r="AP9" s="62">
        <f>SUM(AA9:AL9)</f>
        <v>11469585.167236347</v>
      </c>
    </row>
    <row r="10" spans="1:42" x14ac:dyDescent="0.35">
      <c r="A10" s="63" t="s">
        <v>269</v>
      </c>
      <c r="B10" s="34" t="s">
        <v>114</v>
      </c>
      <c r="C10" s="70">
        <f t="shared" ref="C10:AL10" si="2">IFERROR(C9/C7,0)</f>
        <v>0.80524877400328421</v>
      </c>
      <c r="D10" s="70">
        <f t="shared" si="2"/>
        <v>0.80984597559578808</v>
      </c>
      <c r="E10" s="70">
        <f t="shared" si="2"/>
        <v>0.81389372239403257</v>
      </c>
      <c r="F10" s="70">
        <f t="shared" si="2"/>
        <v>0.81748612422217815</v>
      </c>
      <c r="G10" s="70">
        <f t="shared" si="2"/>
        <v>0.82069697284634047</v>
      </c>
      <c r="H10" s="70">
        <f t="shared" si="2"/>
        <v>0.82358494422590767</v>
      </c>
      <c r="I10" s="70">
        <f t="shared" si="2"/>
        <v>0.82619728024171613</v>
      </c>
      <c r="J10" s="70">
        <f t="shared" si="2"/>
        <v>0.82857244430814403</v>
      </c>
      <c r="K10" s="70">
        <f t="shared" si="2"/>
        <v>0.83074206970654241</v>
      </c>
      <c r="L10" s="70">
        <f t="shared" si="2"/>
        <v>0.83273241106681994</v>
      </c>
      <c r="M10" s="70">
        <f t="shared" si="2"/>
        <v>0.83456544079201611</v>
      </c>
      <c r="N10" s="70">
        <f t="shared" si="2"/>
        <v>0.83625968778507398</v>
      </c>
      <c r="O10" s="70">
        <f t="shared" si="2"/>
        <v>0.83426179577157877</v>
      </c>
      <c r="P10" s="70">
        <f t="shared" si="2"/>
        <v>0.8351510441922686</v>
      </c>
      <c r="Q10" s="70">
        <f t="shared" si="2"/>
        <v>0.83598445007210576</v>
      </c>
      <c r="R10" s="70">
        <f t="shared" si="2"/>
        <v>0.83676774399568676</v>
      </c>
      <c r="S10" s="70">
        <f t="shared" si="2"/>
        <v>0.83750590484831111</v>
      </c>
      <c r="T10" s="70">
        <f t="shared" si="2"/>
        <v>0.83820327902707592</v>
      </c>
      <c r="U10" s="70">
        <f t="shared" si="2"/>
        <v>0.8388636776629429</v>
      </c>
      <c r="V10" s="70">
        <f t="shared" si="2"/>
        <v>0.83949045644464382</v>
      </c>
      <c r="W10" s="70">
        <f t="shared" si="2"/>
        <v>0.84008658157160898</v>
      </c>
      <c r="X10" s="70">
        <f t="shared" si="2"/>
        <v>0.84065468456887149</v>
      </c>
      <c r="Y10" s="70">
        <f t="shared" si="2"/>
        <v>0.8411971080983619</v>
      </c>
      <c r="Z10" s="70">
        <f t="shared" si="2"/>
        <v>0.84171594444600306</v>
      </c>
      <c r="AA10" s="70">
        <f t="shared" si="2"/>
        <v>0.83950159073591757</v>
      </c>
      <c r="AB10" s="70">
        <f t="shared" si="2"/>
        <v>0.83999776940439708</v>
      </c>
      <c r="AC10" s="70">
        <f t="shared" si="2"/>
        <v>0.84047469616186565</v>
      </c>
      <c r="AD10" s="70">
        <f t="shared" si="2"/>
        <v>0.8409337963199125</v>
      </c>
      <c r="AE10" s="70">
        <f t="shared" si="2"/>
        <v>0.84137636051397824</v>
      </c>
      <c r="AF10" s="70">
        <f t="shared" si="2"/>
        <v>0.841803560174742</v>
      </c>
      <c r="AG10" s="70">
        <f t="shared" si="2"/>
        <v>0.842216460914886</v>
      </c>
      <c r="AH10" s="70">
        <f t="shared" si="2"/>
        <v>0.84261603415174879</v>
      </c>
      <c r="AI10" s="70">
        <f t="shared" si="2"/>
        <v>0.84300316723126967</v>
      </c>
      <c r="AJ10" s="70">
        <f t="shared" si="2"/>
        <v>0.84337867227395602</v>
      </c>
      <c r="AK10" s="70">
        <f t="shared" si="2"/>
        <v>0.84374329392721426</v>
      </c>
      <c r="AL10" s="70">
        <f t="shared" si="2"/>
        <v>0.84409771617861129</v>
      </c>
      <c r="AN10" s="70">
        <f>IFERROR(AN9/AN7,0)</f>
        <v>0.8250008845594704</v>
      </c>
      <c r="AO10" s="70">
        <f>IFERROR(AO9/AO7,0)</f>
        <v>0.83858588239228349</v>
      </c>
      <c r="AP10" s="70">
        <f>IFERROR(AP9/AP7,0)</f>
        <v>0.84204967179036538</v>
      </c>
    </row>
    <row r="12" spans="1:42" x14ac:dyDescent="0.35">
      <c r="A12" s="33" t="s">
        <v>270</v>
      </c>
      <c r="B12" s="34" t="s">
        <v>144</v>
      </c>
      <c r="C12" s="67">
        <f>'Operating Expenses'!C17</f>
        <v>320096.48616666667</v>
      </c>
      <c r="D12" s="67">
        <f>'Operating Expenses'!D17</f>
        <v>324633.52433333342</v>
      </c>
      <c r="E12" s="67">
        <f>'Operating Expenses'!E17</f>
        <v>329170.56250000006</v>
      </c>
      <c r="F12" s="67">
        <f>'Operating Expenses'!F17</f>
        <v>333707.60066666669</v>
      </c>
      <c r="G12" s="67">
        <f>'Operating Expenses'!G17</f>
        <v>338244.63883333333</v>
      </c>
      <c r="H12" s="67">
        <f>'Operating Expenses'!H17</f>
        <v>342781.67699999997</v>
      </c>
      <c r="I12" s="67">
        <f>'Operating Expenses'!I17</f>
        <v>347318.71516666666</v>
      </c>
      <c r="J12" s="67">
        <f>'Operating Expenses'!J17</f>
        <v>351855.75333333341</v>
      </c>
      <c r="K12" s="67">
        <f>'Operating Expenses'!K17</f>
        <v>356392.79150000005</v>
      </c>
      <c r="L12" s="67">
        <f>'Operating Expenses'!L17</f>
        <v>360929.82966666669</v>
      </c>
      <c r="M12" s="67">
        <f>'Operating Expenses'!M17</f>
        <v>365466.86783333332</v>
      </c>
      <c r="N12" s="67">
        <f>'Operating Expenses'!N17</f>
        <v>370003.90600000002</v>
      </c>
      <c r="O12" s="67">
        <f>'Operating Expenses'!O17</f>
        <v>413690.52721333335</v>
      </c>
      <c r="P12" s="67">
        <f>'Operating Expenses'!P17</f>
        <v>418726.99218666664</v>
      </c>
      <c r="Q12" s="67">
        <f>'Operating Expenses'!Q17</f>
        <v>423763.45715999999</v>
      </c>
      <c r="R12" s="67">
        <f>'Operating Expenses'!R17</f>
        <v>428799.9221333334</v>
      </c>
      <c r="S12" s="67">
        <f>'Operating Expenses'!S17</f>
        <v>433836.38710666669</v>
      </c>
      <c r="T12" s="67">
        <f>'Operating Expenses'!T17</f>
        <v>438872.85208000004</v>
      </c>
      <c r="U12" s="67">
        <f>'Operating Expenses'!U17</f>
        <v>443909.31705333333</v>
      </c>
      <c r="V12" s="67">
        <f>'Operating Expenses'!V17</f>
        <v>448945.78202666662</v>
      </c>
      <c r="W12" s="67">
        <f>'Operating Expenses'!W17</f>
        <v>453982.24700000003</v>
      </c>
      <c r="X12" s="67">
        <f>'Operating Expenses'!X17</f>
        <v>459018.71197333332</v>
      </c>
      <c r="Y12" s="67">
        <f>'Operating Expenses'!Y17</f>
        <v>464055.17694666662</v>
      </c>
      <c r="Z12" s="67">
        <f>'Operating Expenses'!Z17</f>
        <v>469091.64191999997</v>
      </c>
      <c r="AA12" s="67">
        <f>'Operating Expenses'!AA17</f>
        <v>521697.73116906668</v>
      </c>
      <c r="AB12" s="67">
        <f>'Operating Expenses'!AB17</f>
        <v>526932.15474133333</v>
      </c>
      <c r="AC12" s="67">
        <f>'Operating Expenses'!AC17</f>
        <v>532166.57831360004</v>
      </c>
      <c r="AD12" s="67">
        <f>'Operating Expenses'!AD17</f>
        <v>537401.00188586675</v>
      </c>
      <c r="AE12" s="67">
        <f>'Operating Expenses'!AE17</f>
        <v>542635.42545813345</v>
      </c>
      <c r="AF12" s="67">
        <f>'Operating Expenses'!AF17</f>
        <v>547869.84903039993</v>
      </c>
      <c r="AG12" s="67">
        <f>'Operating Expenses'!AG17</f>
        <v>553104.27260266664</v>
      </c>
      <c r="AH12" s="67">
        <f>'Operating Expenses'!AH17</f>
        <v>558338.69617493334</v>
      </c>
      <c r="AI12" s="67">
        <f>'Operating Expenses'!AI17</f>
        <v>563573.11974720005</v>
      </c>
      <c r="AJ12" s="67">
        <f>'Operating Expenses'!AJ17</f>
        <v>568807.54331946676</v>
      </c>
      <c r="AK12" s="67">
        <f>'Operating Expenses'!AK17</f>
        <v>574041.96689173346</v>
      </c>
      <c r="AL12" s="67">
        <f>'Operating Expenses'!AL17</f>
        <v>579276.39046400005</v>
      </c>
      <c r="AN12" s="58">
        <f>SUM(C12:N12)</f>
        <v>4140602.3529999997</v>
      </c>
      <c r="AO12" s="58">
        <f>SUM(O12:Z12)</f>
        <v>5296693.0148000009</v>
      </c>
      <c r="AP12" s="58">
        <f>SUM(AA12:AL12)</f>
        <v>6605844.7297984008</v>
      </c>
    </row>
    <row r="13" spans="1:42" x14ac:dyDescent="0.35">
      <c r="A13" s="33" t="s">
        <v>271</v>
      </c>
      <c r="B13" s="34" t="s">
        <v>144</v>
      </c>
      <c r="C13" s="67">
        <f>'Operating Expenses'!C23</f>
        <v>238907.98888888894</v>
      </c>
      <c r="D13" s="67">
        <f>'Operating Expenses'!D23</f>
        <v>244994.57777777786</v>
      </c>
      <c r="E13" s="67">
        <f>'Operating Expenses'!E23</f>
        <v>251081.16666666674</v>
      </c>
      <c r="F13" s="67">
        <f>'Operating Expenses'!F23</f>
        <v>257167.75555555566</v>
      </c>
      <c r="G13" s="67">
        <f>'Operating Expenses'!G23</f>
        <v>263254.34444444452</v>
      </c>
      <c r="H13" s="67">
        <f>'Operating Expenses'!H23</f>
        <v>269340.93333333341</v>
      </c>
      <c r="I13" s="67">
        <f>'Operating Expenses'!I23</f>
        <v>275427.52222222235</v>
      </c>
      <c r="J13" s="67">
        <f>'Operating Expenses'!J23</f>
        <v>281514.11111111118</v>
      </c>
      <c r="K13" s="67">
        <f>'Operating Expenses'!K23</f>
        <v>287600.70000000013</v>
      </c>
      <c r="L13" s="67">
        <f>'Operating Expenses'!L23</f>
        <v>293687.28888888902</v>
      </c>
      <c r="M13" s="67">
        <f>'Operating Expenses'!M23</f>
        <v>299773.8777777779</v>
      </c>
      <c r="N13" s="67">
        <f>'Operating Expenses'!N23</f>
        <v>305860.46666666679</v>
      </c>
      <c r="O13" s="67">
        <f>'Operating Expenses'!O23</f>
        <v>323011.34900000016</v>
      </c>
      <c r="P13" s="67">
        <f>'Operating Expenses'!P23</f>
        <v>328053.81266666681</v>
      </c>
      <c r="Q13" s="67">
        <f>'Operating Expenses'!Q23</f>
        <v>333096.27633333346</v>
      </c>
      <c r="R13" s="67">
        <f>'Operating Expenses'!R23</f>
        <v>338138.74000000011</v>
      </c>
      <c r="S13" s="67">
        <f>'Operating Expenses'!S23</f>
        <v>343181.20366666676</v>
      </c>
      <c r="T13" s="67">
        <f>'Operating Expenses'!T23</f>
        <v>348223.66733333346</v>
      </c>
      <c r="U13" s="67">
        <f>'Operating Expenses'!U23</f>
        <v>353266.13100000011</v>
      </c>
      <c r="V13" s="67">
        <f>'Operating Expenses'!V23</f>
        <v>358308.59466666676</v>
      </c>
      <c r="W13" s="67">
        <f>'Operating Expenses'!W23</f>
        <v>363351.05833333341</v>
      </c>
      <c r="X13" s="67">
        <f>'Operating Expenses'!X23</f>
        <v>368393.52200000006</v>
      </c>
      <c r="Y13" s="67">
        <f>'Operating Expenses'!Y23</f>
        <v>373435.98566666676</v>
      </c>
      <c r="Z13" s="67">
        <f>'Operating Expenses'!Z23</f>
        <v>378478.44933333347</v>
      </c>
      <c r="AA13" s="67">
        <f>'Operating Expenses'!AA23</f>
        <v>398709.74952000007</v>
      </c>
      <c r="AB13" s="67">
        <f>'Operating Expenses'!AB23</f>
        <v>403951.91173333349</v>
      </c>
      <c r="AC13" s="67">
        <f>'Operating Expenses'!AC23</f>
        <v>409194.07394666679</v>
      </c>
      <c r="AD13" s="67">
        <f>'Operating Expenses'!AD23</f>
        <v>414436.23616000015</v>
      </c>
      <c r="AE13" s="67">
        <f>'Operating Expenses'!AE23</f>
        <v>419678.39837333345</v>
      </c>
      <c r="AF13" s="67">
        <f>'Operating Expenses'!AF23</f>
        <v>424920.5605866668</v>
      </c>
      <c r="AG13" s="67">
        <f>'Operating Expenses'!AG23</f>
        <v>430162.72280000016</v>
      </c>
      <c r="AH13" s="67">
        <f>'Operating Expenses'!AH23</f>
        <v>435404.88501333341</v>
      </c>
      <c r="AI13" s="67">
        <f>'Operating Expenses'!AI23</f>
        <v>440647.04722666682</v>
      </c>
      <c r="AJ13" s="67">
        <f>'Operating Expenses'!AJ23</f>
        <v>445889.20944000012</v>
      </c>
      <c r="AK13" s="67">
        <f>'Operating Expenses'!AK23</f>
        <v>451131.37165333348</v>
      </c>
      <c r="AL13" s="67">
        <f>'Operating Expenses'!AL23</f>
        <v>456373.53386666678</v>
      </c>
      <c r="AN13" s="58">
        <f>SUM(C13:N13)</f>
        <v>3268610.7333333343</v>
      </c>
      <c r="AO13" s="58">
        <f>SUM(O13:Z13)</f>
        <v>4208938.7900000019</v>
      </c>
      <c r="AP13" s="58">
        <f>SUM(AA13:AL13)</f>
        <v>5130499.7003200017</v>
      </c>
    </row>
    <row r="14" spans="1:42" x14ac:dyDescent="0.35">
      <c r="A14" s="33" t="s">
        <v>272</v>
      </c>
      <c r="B14" s="34" t="s">
        <v>144</v>
      </c>
      <c r="C14" s="67">
        <f>'Operating Expenses'!C31</f>
        <v>106629.59722222223</v>
      </c>
      <c r="D14" s="67">
        <f>'Operating Expenses'!D31</f>
        <v>108033.36111111112</v>
      </c>
      <c r="E14" s="67">
        <f>'Operating Expenses'!E31</f>
        <v>109437.125</v>
      </c>
      <c r="F14" s="67">
        <f>'Operating Expenses'!F31</f>
        <v>110840.88888888888</v>
      </c>
      <c r="G14" s="67">
        <f>'Operating Expenses'!G31</f>
        <v>112244.65277777777</v>
      </c>
      <c r="H14" s="67">
        <f>'Operating Expenses'!H31</f>
        <v>113648.41666666664</v>
      </c>
      <c r="I14" s="67">
        <f>'Operating Expenses'!I31</f>
        <v>115052.18055555556</v>
      </c>
      <c r="J14" s="67">
        <f>'Operating Expenses'!J31</f>
        <v>116455.94444444444</v>
      </c>
      <c r="K14" s="67">
        <f>'Operating Expenses'!K31</f>
        <v>117859.70833333333</v>
      </c>
      <c r="L14" s="67">
        <f>'Operating Expenses'!L31</f>
        <v>119263.4722222222</v>
      </c>
      <c r="M14" s="67">
        <f>'Operating Expenses'!M31</f>
        <v>120667.23611111111</v>
      </c>
      <c r="N14" s="67">
        <f>'Operating Expenses'!N31</f>
        <v>122070.99999999999</v>
      </c>
      <c r="O14" s="67">
        <f>'Operating Expenses'!O31</f>
        <v>127723.25444444442</v>
      </c>
      <c r="P14" s="67">
        <f>'Operating Expenses'!P31</f>
        <v>129164.66888888885</v>
      </c>
      <c r="Q14" s="67">
        <f>'Operating Expenses'!Q31</f>
        <v>130606.0833333333</v>
      </c>
      <c r="R14" s="67">
        <f>'Operating Expenses'!R31</f>
        <v>132047.49777777772</v>
      </c>
      <c r="S14" s="67">
        <f>'Operating Expenses'!S31</f>
        <v>133488.91222222216</v>
      </c>
      <c r="T14" s="67">
        <f>'Operating Expenses'!T31</f>
        <v>134930.32666666663</v>
      </c>
      <c r="U14" s="67">
        <f>'Operating Expenses'!U31</f>
        <v>136371.74111111107</v>
      </c>
      <c r="V14" s="67">
        <f>'Operating Expenses'!V31</f>
        <v>137813.15555555551</v>
      </c>
      <c r="W14" s="67">
        <f>'Operating Expenses'!W31</f>
        <v>139254.56999999995</v>
      </c>
      <c r="X14" s="67">
        <f>'Operating Expenses'!X31</f>
        <v>140695.98444444442</v>
      </c>
      <c r="Y14" s="67">
        <f>'Operating Expenses'!Y31</f>
        <v>142137.39888888883</v>
      </c>
      <c r="Z14" s="67">
        <f>'Operating Expenses'!Z31</f>
        <v>143578.81333333327</v>
      </c>
      <c r="AA14" s="67">
        <f>'Operating Expenses'!AA31</f>
        <v>149923.5368888888</v>
      </c>
      <c r="AB14" s="67">
        <f>'Operating Expenses'!AB31</f>
        <v>151404.10791111106</v>
      </c>
      <c r="AC14" s="67">
        <f>'Operating Expenses'!AC31</f>
        <v>152884.67893333323</v>
      </c>
      <c r="AD14" s="67">
        <f>'Operating Expenses'!AD31</f>
        <v>154365.24995555548</v>
      </c>
      <c r="AE14" s="67">
        <f>'Operating Expenses'!AE31</f>
        <v>155845.82097777768</v>
      </c>
      <c r="AF14" s="67">
        <f>'Operating Expenses'!AF31</f>
        <v>157326.39199999991</v>
      </c>
      <c r="AG14" s="67">
        <f>'Operating Expenses'!AG31</f>
        <v>158806.96302222213</v>
      </c>
      <c r="AH14" s="67">
        <f>'Operating Expenses'!AH31</f>
        <v>160287.53404444436</v>
      </c>
      <c r="AI14" s="67">
        <f>'Operating Expenses'!AI31</f>
        <v>161768.10506666655</v>
      </c>
      <c r="AJ14" s="67">
        <f>'Operating Expenses'!AJ31</f>
        <v>163248.67608888881</v>
      </c>
      <c r="AK14" s="67">
        <f>'Operating Expenses'!AK31</f>
        <v>164729.24711111101</v>
      </c>
      <c r="AL14" s="67">
        <f>'Operating Expenses'!AL31</f>
        <v>166209.8181333332</v>
      </c>
      <c r="AN14" s="58">
        <f>SUM(C14:N14)</f>
        <v>1372203.5833333333</v>
      </c>
      <c r="AO14" s="58">
        <f>SUM(O14:Z14)</f>
        <v>1627812.4066666665</v>
      </c>
      <c r="AP14" s="58">
        <f>SUM(AA14:AL14)</f>
        <v>1896800.1301333325</v>
      </c>
    </row>
    <row r="15" spans="1:42" x14ac:dyDescent="0.35">
      <c r="A15" s="68" t="s">
        <v>273</v>
      </c>
      <c r="B15" s="60" t="s">
        <v>144</v>
      </c>
      <c r="C15" s="61">
        <f t="shared" ref="C15:AL15" si="3">C12+C13+C14</f>
        <v>665634.07227777783</v>
      </c>
      <c r="D15" s="61">
        <f t="shared" si="3"/>
        <v>677661.4632222224</v>
      </c>
      <c r="E15" s="61">
        <f t="shared" si="3"/>
        <v>689688.85416666674</v>
      </c>
      <c r="F15" s="61">
        <f t="shared" si="3"/>
        <v>701716.2451111112</v>
      </c>
      <c r="G15" s="61">
        <f t="shared" si="3"/>
        <v>713743.63605555566</v>
      </c>
      <c r="H15" s="61">
        <f t="shared" si="3"/>
        <v>725771.027</v>
      </c>
      <c r="I15" s="61">
        <f t="shared" si="3"/>
        <v>737798.41794444458</v>
      </c>
      <c r="J15" s="61">
        <f t="shared" si="3"/>
        <v>749825.80888888915</v>
      </c>
      <c r="K15" s="61">
        <f t="shared" si="3"/>
        <v>761853.19983333361</v>
      </c>
      <c r="L15" s="61">
        <f t="shared" si="3"/>
        <v>773880.59077777795</v>
      </c>
      <c r="M15" s="61">
        <f t="shared" si="3"/>
        <v>785907.98172222229</v>
      </c>
      <c r="N15" s="61">
        <f t="shared" si="3"/>
        <v>797935.37266666675</v>
      </c>
      <c r="O15" s="61">
        <f t="shared" si="3"/>
        <v>864425.13065777801</v>
      </c>
      <c r="P15" s="61">
        <f t="shared" si="3"/>
        <v>875945.47374222218</v>
      </c>
      <c r="Q15" s="61">
        <f t="shared" si="3"/>
        <v>887465.81682666671</v>
      </c>
      <c r="R15" s="61">
        <f t="shared" si="3"/>
        <v>898986.15991111123</v>
      </c>
      <c r="S15" s="61">
        <f t="shared" si="3"/>
        <v>910506.50299555564</v>
      </c>
      <c r="T15" s="61">
        <f t="shared" si="3"/>
        <v>922026.84608000016</v>
      </c>
      <c r="U15" s="61">
        <f t="shared" si="3"/>
        <v>933547.18916444457</v>
      </c>
      <c r="V15" s="61">
        <f t="shared" si="3"/>
        <v>945067.53224888886</v>
      </c>
      <c r="W15" s="61">
        <f t="shared" si="3"/>
        <v>956587.87533333339</v>
      </c>
      <c r="X15" s="61">
        <f t="shared" si="3"/>
        <v>968108.2184177778</v>
      </c>
      <c r="Y15" s="61">
        <f t="shared" si="3"/>
        <v>979628.5615022222</v>
      </c>
      <c r="Z15" s="61">
        <f t="shared" si="3"/>
        <v>991148.90458666673</v>
      </c>
      <c r="AA15" s="61">
        <f t="shared" si="3"/>
        <v>1070331.0175779555</v>
      </c>
      <c r="AB15" s="61">
        <f t="shared" si="3"/>
        <v>1082288.1743857779</v>
      </c>
      <c r="AC15" s="61">
        <f t="shared" si="3"/>
        <v>1094245.3311936001</v>
      </c>
      <c r="AD15" s="61">
        <f t="shared" si="3"/>
        <v>1106202.4880014223</v>
      </c>
      <c r="AE15" s="61">
        <f t="shared" si="3"/>
        <v>1118159.6448092447</v>
      </c>
      <c r="AF15" s="61">
        <f t="shared" si="3"/>
        <v>1130116.8016170666</v>
      </c>
      <c r="AG15" s="61">
        <f t="shared" si="3"/>
        <v>1142073.9584248888</v>
      </c>
      <c r="AH15" s="61">
        <f t="shared" si="3"/>
        <v>1154031.1152327112</v>
      </c>
      <c r="AI15" s="61">
        <f t="shared" si="3"/>
        <v>1165988.2720405334</v>
      </c>
      <c r="AJ15" s="61">
        <f t="shared" si="3"/>
        <v>1177945.4288483558</v>
      </c>
      <c r="AK15" s="61">
        <f t="shared" si="3"/>
        <v>1189902.585656178</v>
      </c>
      <c r="AL15" s="61">
        <f t="shared" si="3"/>
        <v>1201859.7424640001</v>
      </c>
      <c r="AN15" s="62">
        <f>SUM(C15:N15)</f>
        <v>8781416.6696666684</v>
      </c>
      <c r="AO15" s="62">
        <f>SUM(O15:Z15)</f>
        <v>11133444.211466668</v>
      </c>
      <c r="AP15" s="62">
        <f>SUM(AA15:AL15)</f>
        <v>13633144.560251731</v>
      </c>
    </row>
    <row r="17" spans="1:42" x14ac:dyDescent="0.35">
      <c r="A17" s="68" t="s">
        <v>274</v>
      </c>
      <c r="B17" s="60" t="s">
        <v>144</v>
      </c>
      <c r="C17" s="61">
        <f t="shared" ref="C17:AL17" si="4">C9-C15</f>
        <v>-377293.81227777782</v>
      </c>
      <c r="D17" s="61">
        <f t="shared" si="4"/>
        <v>-367310.87528089667</v>
      </c>
      <c r="E17" s="61">
        <f t="shared" si="4"/>
        <v>-357263.35577226809</v>
      </c>
      <c r="F17" s="61">
        <f t="shared" si="4"/>
        <v>-347150.13870247814</v>
      </c>
      <c r="G17" s="61">
        <f t="shared" si="4"/>
        <v>-336970.10849577037</v>
      </c>
      <c r="H17" s="61">
        <f t="shared" si="4"/>
        <v>-326722.14900280605</v>
      </c>
      <c r="I17" s="61">
        <f t="shared" si="4"/>
        <v>-316405.14345353137</v>
      </c>
      <c r="J17" s="61">
        <f t="shared" si="4"/>
        <v>-306017.97441014793</v>
      </c>
      <c r="K17" s="61">
        <f t="shared" si="4"/>
        <v>-295559.52372018655</v>
      </c>
      <c r="L17" s="61">
        <f t="shared" si="4"/>
        <v>-285028.67246968165</v>
      </c>
      <c r="M17" s="61">
        <f t="shared" si="4"/>
        <v>-274424.30093644286</v>
      </c>
      <c r="N17" s="61">
        <f t="shared" si="4"/>
        <v>-263745.28854342201</v>
      </c>
      <c r="O17" s="61">
        <f t="shared" si="4"/>
        <v>-309825.53685884073</v>
      </c>
      <c r="P17" s="61">
        <f t="shared" si="4"/>
        <v>-298975.31750307593</v>
      </c>
      <c r="Q17" s="61">
        <f t="shared" si="4"/>
        <v>-288047.08996230201</v>
      </c>
      <c r="R17" s="61">
        <f t="shared" si="4"/>
        <v>-277039.72977555089</v>
      </c>
      <c r="S17" s="61">
        <f t="shared" si="4"/>
        <v>-265952.11139519315</v>
      </c>
      <c r="T17" s="61">
        <f t="shared" si="4"/>
        <v>-254783.10814083274</v>
      </c>
      <c r="U17" s="61">
        <f t="shared" si="4"/>
        <v>-243531.59215328353</v>
      </c>
      <c r="V17" s="61">
        <f t="shared" si="4"/>
        <v>-232196.4343486235</v>
      </c>
      <c r="W17" s="61">
        <f t="shared" si="4"/>
        <v>-220776.50437232642</v>
      </c>
      <c r="X17" s="61">
        <f t="shared" si="4"/>
        <v>-209270.67055346549</v>
      </c>
      <c r="Y17" s="61">
        <f t="shared" si="4"/>
        <v>-197677.79985899071</v>
      </c>
      <c r="Z17" s="61">
        <f t="shared" si="4"/>
        <v>-185996.75784807629</v>
      </c>
      <c r="AA17" s="61">
        <f t="shared" si="4"/>
        <v>-244555.32301337773</v>
      </c>
      <c r="AB17" s="61">
        <f t="shared" si="4"/>
        <v>-233185.77443151537</v>
      </c>
      <c r="AC17" s="61">
        <f t="shared" si="4"/>
        <v>-221724.64230854856</v>
      </c>
      <c r="AD17" s="61">
        <f t="shared" si="4"/>
        <v>-210170.78611733881</v>
      </c>
      <c r="AE17" s="61">
        <f t="shared" si="4"/>
        <v>-198523.06369568221</v>
      </c>
      <c r="AF17" s="61">
        <f t="shared" si="4"/>
        <v>-186780.33120102913</v>
      </c>
      <c r="AG17" s="61">
        <f t="shared" si="4"/>
        <v>-174941.44306526659</v>
      </c>
      <c r="AH17" s="61">
        <f t="shared" si="4"/>
        <v>-163005.25194954779</v>
      </c>
      <c r="AI17" s="61">
        <f t="shared" si="4"/>
        <v>-150970.6086991739</v>
      </c>
      <c r="AJ17" s="61">
        <f t="shared" si="4"/>
        <v>-138836.36229853088</v>
      </c>
      <c r="AK17" s="61">
        <f t="shared" si="4"/>
        <v>-126601.35982606513</v>
      </c>
      <c r="AL17" s="61">
        <f t="shared" si="4"/>
        <v>-114264.44640931184</v>
      </c>
      <c r="AN17" s="62">
        <f>SUM(C17:N17)</f>
        <v>-3853891.343065409</v>
      </c>
      <c r="AO17" s="62">
        <f>SUM(O17:Z17)</f>
        <v>-2984072.6527705612</v>
      </c>
      <c r="AP17" s="62">
        <f>SUM(AA17:AL17)</f>
        <v>-2163559.3930153875</v>
      </c>
    </row>
    <row r="18" spans="1:42" x14ac:dyDescent="0.35">
      <c r="A18" s="63" t="s">
        <v>275</v>
      </c>
      <c r="B18" s="34" t="s">
        <v>114</v>
      </c>
      <c r="C18" s="70">
        <f t="shared" ref="C18:AL18" si="5">IFERROR(C17/C7,0)</f>
        <v>-1.0536696463258577</v>
      </c>
      <c r="D18" s="70">
        <f t="shared" si="5"/>
        <v>-0.95848129727093923</v>
      </c>
      <c r="E18" s="70">
        <f t="shared" si="5"/>
        <v>-0.874705472079919</v>
      </c>
      <c r="F18" s="70">
        <f t="shared" si="5"/>
        <v>-0.8003879002580564</v>
      </c>
      <c r="G18" s="70">
        <f t="shared" si="5"/>
        <v>-0.73399622784883556</v>
      </c>
      <c r="H18" s="70">
        <f t="shared" si="5"/>
        <v>-0.6743119895847367</v>
      </c>
      <c r="I18" s="70">
        <f t="shared" si="5"/>
        <v>-0.62035415560823026</v>
      </c>
      <c r="J18" s="70">
        <f t="shared" si="5"/>
        <v>-0.57132398610549762</v>
      </c>
      <c r="K18" s="70">
        <f t="shared" si="5"/>
        <v>-0.5265645730035774</v>
      </c>
      <c r="L18" s="70">
        <f t="shared" si="5"/>
        <v>-0.48553069909252705</v>
      </c>
      <c r="M18" s="70">
        <f t="shared" si="5"/>
        <v>-0.44776607011824493</v>
      </c>
      <c r="N18" s="70">
        <f t="shared" si="5"/>
        <v>-0.41288589812389764</v>
      </c>
      <c r="O18" s="70">
        <f t="shared" si="5"/>
        <v>-0.4660580563812256</v>
      </c>
      <c r="P18" s="70">
        <f t="shared" si="5"/>
        <v>-0.43275990257096764</v>
      </c>
      <c r="Q18" s="70">
        <f t="shared" si="5"/>
        <v>-0.40172733567513957</v>
      </c>
      <c r="R18" s="70">
        <f t="shared" si="5"/>
        <v>-0.37272970540394457</v>
      </c>
      <c r="S18" s="70">
        <f t="shared" si="5"/>
        <v>-0.34556659081527358</v>
      </c>
      <c r="T18" s="70">
        <f t="shared" si="5"/>
        <v>-0.32006300627706502</v>
      </c>
      <c r="U18" s="70">
        <f t="shared" si="5"/>
        <v>-0.29606549171599511</v>
      </c>
      <c r="V18" s="70">
        <f t="shared" si="5"/>
        <v>-0.27343890253131858</v>
      </c>
      <c r="W18" s="70">
        <f t="shared" si="5"/>
        <v>-0.25206375732851488</v>
      </c>
      <c r="X18" s="70">
        <f t="shared" si="5"/>
        <v>-0.23183403356721718</v>
      </c>
      <c r="Y18" s="70">
        <f t="shared" si="5"/>
        <v>-0.21265532528824171</v>
      </c>
      <c r="Z18" s="70">
        <f t="shared" si="5"/>
        <v>-0.1944432953823042</v>
      </c>
      <c r="AA18" s="70">
        <f t="shared" si="5"/>
        <v>-0.24862027793264313</v>
      </c>
      <c r="AB18" s="70">
        <f t="shared" si="5"/>
        <v>-0.23068540424554301</v>
      </c>
      <c r="AC18" s="70">
        <f t="shared" si="5"/>
        <v>-0.21358112621261469</v>
      </c>
      <c r="AD18" s="70">
        <f t="shared" si="5"/>
        <v>-0.19724716957398267</v>
      </c>
      <c r="AE18" s="70">
        <f t="shared" si="5"/>
        <v>-0.1816289349952811</v>
      </c>
      <c r="AF18" s="70">
        <f t="shared" si="5"/>
        <v>-0.16667684618013331</v>
      </c>
      <c r="AG18" s="70">
        <f t="shared" si="5"/>
        <v>-0.15234578582127903</v>
      </c>
      <c r="AH18" s="70">
        <f t="shared" si="5"/>
        <v>-0.13859460588506323</v>
      </c>
      <c r="AI18" s="70">
        <f t="shared" si="5"/>
        <v>-0.12538570104610552</v>
      </c>
      <c r="AJ18" s="70">
        <f t="shared" si="5"/>
        <v>-0.11268463597133516</v>
      </c>
      <c r="AK18" s="70">
        <f t="shared" si="5"/>
        <v>-0.1004598186858251</v>
      </c>
      <c r="AL18" s="70">
        <f t="shared" si="5"/>
        <v>-8.8682213507535773E-2</v>
      </c>
      <c r="AN18" s="70">
        <f>IFERROR(AN17/AN7,0)</f>
        <v>-0.64524554543853974</v>
      </c>
      <c r="AO18" s="70">
        <f>IFERROR(AO17/AO7,0)</f>
        <v>-0.30706676958126888</v>
      </c>
      <c r="AP18" s="70">
        <f>IFERROR(AP17/AP7,0)</f>
        <v>-0.15883961365854235</v>
      </c>
    </row>
    <row r="19" spans="1:42" x14ac:dyDescent="0.35">
      <c r="A19" s="33" t="s">
        <v>260</v>
      </c>
      <c r="B19" s="34" t="s">
        <v>144</v>
      </c>
      <c r="C19" s="67">
        <f>'Operating Expenses'!C37</f>
        <v>1111.1111111111111</v>
      </c>
      <c r="D19" s="67">
        <f>'Operating Expenses'!D37</f>
        <v>2222.2222222222222</v>
      </c>
      <c r="E19" s="67">
        <f>'Operating Expenses'!E37</f>
        <v>3333.3333333333335</v>
      </c>
      <c r="F19" s="67">
        <f>'Operating Expenses'!F37</f>
        <v>4444.4444444444443</v>
      </c>
      <c r="G19" s="67">
        <f>'Operating Expenses'!G37</f>
        <v>5555.5555555555557</v>
      </c>
      <c r="H19" s="67">
        <f>'Operating Expenses'!H37</f>
        <v>6666.666666666667</v>
      </c>
      <c r="I19" s="67">
        <f>'Operating Expenses'!I37</f>
        <v>7777.7777777777774</v>
      </c>
      <c r="J19" s="67">
        <f>'Operating Expenses'!J37</f>
        <v>8888.8888888888887</v>
      </c>
      <c r="K19" s="67">
        <f>'Operating Expenses'!K37</f>
        <v>10000</v>
      </c>
      <c r="L19" s="67">
        <f>'Operating Expenses'!L37</f>
        <v>11111.111111111111</v>
      </c>
      <c r="M19" s="67">
        <f>'Operating Expenses'!M37</f>
        <v>12222.222222222223</v>
      </c>
      <c r="N19" s="67">
        <f>'Operating Expenses'!N37</f>
        <v>13333.333333333334</v>
      </c>
      <c r="O19" s="67">
        <f>'Operating Expenses'!O37</f>
        <v>14444.444444444445</v>
      </c>
      <c r="P19" s="67">
        <f>'Operating Expenses'!P37</f>
        <v>15555.555555555555</v>
      </c>
      <c r="Q19" s="67">
        <f>'Operating Expenses'!Q37</f>
        <v>16666.666666666668</v>
      </c>
      <c r="R19" s="67">
        <f>'Operating Expenses'!R37</f>
        <v>17777.777777777777</v>
      </c>
      <c r="S19" s="67">
        <f>'Operating Expenses'!S37</f>
        <v>18888.888888888891</v>
      </c>
      <c r="T19" s="67">
        <f>'Operating Expenses'!T37</f>
        <v>20000</v>
      </c>
      <c r="U19" s="67">
        <f>'Operating Expenses'!U37</f>
        <v>21111.111111111109</v>
      </c>
      <c r="V19" s="67">
        <f>'Operating Expenses'!V37</f>
        <v>22222.222222222223</v>
      </c>
      <c r="W19" s="67">
        <f>'Operating Expenses'!W37</f>
        <v>23333.333333333332</v>
      </c>
      <c r="X19" s="67">
        <f>'Operating Expenses'!X37</f>
        <v>24444.444444444445</v>
      </c>
      <c r="Y19" s="67">
        <f>'Operating Expenses'!Y37</f>
        <v>25555.555555555555</v>
      </c>
      <c r="Z19" s="67">
        <f>'Operating Expenses'!Z37</f>
        <v>26666.666666666668</v>
      </c>
      <c r="AA19" s="67">
        <f>'Operating Expenses'!AA37</f>
        <v>27777.777777777777</v>
      </c>
      <c r="AB19" s="67">
        <f>'Operating Expenses'!AB37</f>
        <v>28888.888888888891</v>
      </c>
      <c r="AC19" s="67">
        <f>'Operating Expenses'!AC37</f>
        <v>30000</v>
      </c>
      <c r="AD19" s="67">
        <f>'Operating Expenses'!AD37</f>
        <v>31111.111111111109</v>
      </c>
      <c r="AE19" s="67">
        <f>'Operating Expenses'!AE37</f>
        <v>32222.222222222223</v>
      </c>
      <c r="AF19" s="67">
        <f>'Operating Expenses'!AF37</f>
        <v>33333.333333333336</v>
      </c>
      <c r="AG19" s="67">
        <f>'Operating Expenses'!AG37</f>
        <v>34444.444444444445</v>
      </c>
      <c r="AH19" s="67">
        <f>'Operating Expenses'!AH37</f>
        <v>35555.555555555555</v>
      </c>
      <c r="AI19" s="67">
        <f>'Operating Expenses'!AI37</f>
        <v>36666.666666666664</v>
      </c>
      <c r="AJ19" s="67">
        <f>'Operating Expenses'!AJ37</f>
        <v>37777.777777777781</v>
      </c>
      <c r="AK19" s="67">
        <f>'Operating Expenses'!AK37</f>
        <v>38888.888888888891</v>
      </c>
      <c r="AL19" s="67">
        <f>'Operating Expenses'!AL37</f>
        <v>40000</v>
      </c>
      <c r="AN19" s="58">
        <f>SUM(C19:N19)</f>
        <v>86666.666666666657</v>
      </c>
      <c r="AO19" s="58">
        <f>SUM(O19:Z19)</f>
        <v>246666.66666666669</v>
      </c>
      <c r="AP19" s="58">
        <f>SUM(AA19:AL19)</f>
        <v>406666.66666666663</v>
      </c>
    </row>
    <row r="20" spans="1:42" x14ac:dyDescent="0.35">
      <c r="A20" s="68" t="s">
        <v>276</v>
      </c>
      <c r="B20" s="60" t="s">
        <v>144</v>
      </c>
      <c r="C20" s="61">
        <f t="shared" ref="C20:AL20" si="6">C17-C19</f>
        <v>-378404.92338888894</v>
      </c>
      <c r="D20" s="61">
        <f t="shared" si="6"/>
        <v>-369533.09750311892</v>
      </c>
      <c r="E20" s="61">
        <f t="shared" si="6"/>
        <v>-360596.6891056014</v>
      </c>
      <c r="F20" s="61">
        <f t="shared" si="6"/>
        <v>-351594.58314692258</v>
      </c>
      <c r="G20" s="61">
        <f t="shared" si="6"/>
        <v>-342525.66405132593</v>
      </c>
      <c r="H20" s="61">
        <f t="shared" si="6"/>
        <v>-333388.81566947274</v>
      </c>
      <c r="I20" s="61">
        <f t="shared" si="6"/>
        <v>-324182.92123130913</v>
      </c>
      <c r="J20" s="61">
        <f t="shared" si="6"/>
        <v>-314906.86329903681</v>
      </c>
      <c r="K20" s="61">
        <f t="shared" si="6"/>
        <v>-305559.52372018655</v>
      </c>
      <c r="L20" s="61">
        <f t="shared" si="6"/>
        <v>-296139.78358079278</v>
      </c>
      <c r="M20" s="61">
        <f t="shared" si="6"/>
        <v>-286646.52315866511</v>
      </c>
      <c r="N20" s="61">
        <f t="shared" si="6"/>
        <v>-277078.62187675532</v>
      </c>
      <c r="O20" s="61">
        <f t="shared" si="6"/>
        <v>-324269.98130328517</v>
      </c>
      <c r="P20" s="61">
        <f t="shared" si="6"/>
        <v>-314530.87305863149</v>
      </c>
      <c r="Q20" s="61">
        <f t="shared" si="6"/>
        <v>-304713.75662896869</v>
      </c>
      <c r="R20" s="61">
        <f t="shared" si="6"/>
        <v>-294817.50755332864</v>
      </c>
      <c r="S20" s="61">
        <f t="shared" si="6"/>
        <v>-284841.00028408202</v>
      </c>
      <c r="T20" s="61">
        <f t="shared" si="6"/>
        <v>-274783.10814083274</v>
      </c>
      <c r="U20" s="61">
        <f t="shared" si="6"/>
        <v>-264642.70326439466</v>
      </c>
      <c r="V20" s="61">
        <f t="shared" si="6"/>
        <v>-254418.65657084572</v>
      </c>
      <c r="W20" s="61">
        <f t="shared" si="6"/>
        <v>-244109.83770565977</v>
      </c>
      <c r="X20" s="61">
        <f t="shared" si="6"/>
        <v>-233715.11499790993</v>
      </c>
      <c r="Y20" s="61">
        <f t="shared" si="6"/>
        <v>-223233.35541454627</v>
      </c>
      <c r="Z20" s="61">
        <f t="shared" si="6"/>
        <v>-212663.42451474295</v>
      </c>
      <c r="AA20" s="61">
        <f t="shared" si="6"/>
        <v>-272333.10079115548</v>
      </c>
      <c r="AB20" s="61">
        <f t="shared" si="6"/>
        <v>-262074.66332040424</v>
      </c>
      <c r="AC20" s="61">
        <f t="shared" si="6"/>
        <v>-251724.64230854856</v>
      </c>
      <c r="AD20" s="61">
        <f t="shared" si="6"/>
        <v>-241281.89722844993</v>
      </c>
      <c r="AE20" s="61">
        <f t="shared" si="6"/>
        <v>-230745.28591790443</v>
      </c>
      <c r="AF20" s="61">
        <f t="shared" si="6"/>
        <v>-220113.66453436247</v>
      </c>
      <c r="AG20" s="61">
        <f t="shared" si="6"/>
        <v>-209385.88750971103</v>
      </c>
      <c r="AH20" s="61">
        <f t="shared" si="6"/>
        <v>-198560.80750510335</v>
      </c>
      <c r="AI20" s="61">
        <f t="shared" si="6"/>
        <v>-187637.27536584056</v>
      </c>
      <c r="AJ20" s="61">
        <f t="shared" si="6"/>
        <v>-176614.14007630866</v>
      </c>
      <c r="AK20" s="61">
        <f t="shared" si="6"/>
        <v>-165490.24871495401</v>
      </c>
      <c r="AL20" s="61">
        <f t="shared" si="6"/>
        <v>-154264.44640931184</v>
      </c>
      <c r="AN20" s="62">
        <f>SUM(C20:N20)</f>
        <v>-3940558.009732076</v>
      </c>
      <c r="AO20" s="62">
        <f>SUM(O20:Z20)</f>
        <v>-3230739.3194372277</v>
      </c>
      <c r="AP20" s="62">
        <f>SUM(AA20:AL20)</f>
        <v>-2570226.0596820544</v>
      </c>
    </row>
    <row r="22" spans="1:42" x14ac:dyDescent="0.35">
      <c r="A22" s="33" t="s">
        <v>277</v>
      </c>
      <c r="B22" s="34" t="s">
        <v>144</v>
      </c>
      <c r="C22" s="58">
        <f t="shared" ref="C22:AL22" si="7">C20</f>
        <v>-378404.92338888894</v>
      </c>
      <c r="D22" s="58">
        <f t="shared" si="7"/>
        <v>-369533.09750311892</v>
      </c>
      <c r="E22" s="58">
        <f t="shared" si="7"/>
        <v>-360596.6891056014</v>
      </c>
      <c r="F22" s="58">
        <f t="shared" si="7"/>
        <v>-351594.58314692258</v>
      </c>
      <c r="G22" s="58">
        <f t="shared" si="7"/>
        <v>-342525.66405132593</v>
      </c>
      <c r="H22" s="58">
        <f t="shared" si="7"/>
        <v>-333388.81566947274</v>
      </c>
      <c r="I22" s="58">
        <f t="shared" si="7"/>
        <v>-324182.92123130913</v>
      </c>
      <c r="J22" s="58">
        <f t="shared" si="7"/>
        <v>-314906.86329903681</v>
      </c>
      <c r="K22" s="58">
        <f t="shared" si="7"/>
        <v>-305559.52372018655</v>
      </c>
      <c r="L22" s="58">
        <f t="shared" si="7"/>
        <v>-296139.78358079278</v>
      </c>
      <c r="M22" s="58">
        <f t="shared" si="7"/>
        <v>-286646.52315866511</v>
      </c>
      <c r="N22" s="58">
        <f t="shared" si="7"/>
        <v>-277078.62187675532</v>
      </c>
      <c r="O22" s="58">
        <f t="shared" si="7"/>
        <v>-324269.98130328517</v>
      </c>
      <c r="P22" s="58">
        <f t="shared" si="7"/>
        <v>-314530.87305863149</v>
      </c>
      <c r="Q22" s="58">
        <f t="shared" si="7"/>
        <v>-304713.75662896869</v>
      </c>
      <c r="R22" s="58">
        <f t="shared" si="7"/>
        <v>-294817.50755332864</v>
      </c>
      <c r="S22" s="58">
        <f t="shared" si="7"/>
        <v>-284841.00028408202</v>
      </c>
      <c r="T22" s="58">
        <f t="shared" si="7"/>
        <v>-274783.10814083274</v>
      </c>
      <c r="U22" s="58">
        <f t="shared" si="7"/>
        <v>-264642.70326439466</v>
      </c>
      <c r="V22" s="58">
        <f t="shared" si="7"/>
        <v>-254418.65657084572</v>
      </c>
      <c r="W22" s="58">
        <f t="shared" si="7"/>
        <v>-244109.83770565977</v>
      </c>
      <c r="X22" s="58">
        <f t="shared" si="7"/>
        <v>-233715.11499790993</v>
      </c>
      <c r="Y22" s="58">
        <f t="shared" si="7"/>
        <v>-223233.35541454627</v>
      </c>
      <c r="Z22" s="58">
        <f t="shared" si="7"/>
        <v>-212663.42451474295</v>
      </c>
      <c r="AA22" s="58">
        <f t="shared" si="7"/>
        <v>-272333.10079115548</v>
      </c>
      <c r="AB22" s="58">
        <f t="shared" si="7"/>
        <v>-262074.66332040424</v>
      </c>
      <c r="AC22" s="58">
        <f t="shared" si="7"/>
        <v>-251724.64230854856</v>
      </c>
      <c r="AD22" s="58">
        <f t="shared" si="7"/>
        <v>-241281.89722844993</v>
      </c>
      <c r="AE22" s="58">
        <f t="shared" si="7"/>
        <v>-230745.28591790443</v>
      </c>
      <c r="AF22" s="58">
        <f t="shared" si="7"/>
        <v>-220113.66453436247</v>
      </c>
      <c r="AG22" s="58">
        <f t="shared" si="7"/>
        <v>-209385.88750971103</v>
      </c>
      <c r="AH22" s="58">
        <f t="shared" si="7"/>
        <v>-198560.80750510335</v>
      </c>
      <c r="AI22" s="58">
        <f t="shared" si="7"/>
        <v>-187637.27536584056</v>
      </c>
      <c r="AJ22" s="58">
        <f t="shared" si="7"/>
        <v>-176614.14007630866</v>
      </c>
      <c r="AK22" s="58">
        <f t="shared" si="7"/>
        <v>-165490.24871495401</v>
      </c>
      <c r="AL22" s="58">
        <f t="shared" si="7"/>
        <v>-154264.44640931184</v>
      </c>
      <c r="AN22" s="58">
        <f>SUM(C22:N22)</f>
        <v>-3940558.009732076</v>
      </c>
      <c r="AO22" s="58">
        <f>SUM(O22:Z22)</f>
        <v>-3230739.3194372277</v>
      </c>
      <c r="AP22" s="58">
        <f>SUM(AA22:AL22)</f>
        <v>-2570226.0596820544</v>
      </c>
    </row>
    <row r="23" spans="1:42" x14ac:dyDescent="0.35">
      <c r="A23" s="63" t="s">
        <v>278</v>
      </c>
      <c r="B23" s="34" t="s">
        <v>144</v>
      </c>
      <c r="C23" s="71">
        <f>C22</f>
        <v>-378404.92338888894</v>
      </c>
      <c r="D23" s="71">
        <f t="shared" ref="D23:AL23" si="8">C23+D22</f>
        <v>-747938.02089200786</v>
      </c>
      <c r="E23" s="71">
        <f t="shared" si="8"/>
        <v>-1108534.7099976093</v>
      </c>
      <c r="F23" s="71">
        <f t="shared" si="8"/>
        <v>-1460129.2931445318</v>
      </c>
      <c r="G23" s="71">
        <f t="shared" si="8"/>
        <v>-1802654.9571958578</v>
      </c>
      <c r="H23" s="71">
        <f t="shared" si="8"/>
        <v>-2136043.7728653303</v>
      </c>
      <c r="I23" s="71">
        <f t="shared" si="8"/>
        <v>-2460226.6940966393</v>
      </c>
      <c r="J23" s="71">
        <f t="shared" si="8"/>
        <v>-2775133.5573956762</v>
      </c>
      <c r="K23" s="71">
        <f t="shared" si="8"/>
        <v>-3080693.0811158628</v>
      </c>
      <c r="L23" s="71">
        <f t="shared" si="8"/>
        <v>-3376832.8646966554</v>
      </c>
      <c r="M23" s="71">
        <f t="shared" si="8"/>
        <v>-3663479.3878553207</v>
      </c>
      <c r="N23" s="71">
        <f t="shared" si="8"/>
        <v>-3940558.009732076</v>
      </c>
      <c r="O23" s="71">
        <f t="shared" si="8"/>
        <v>-4264827.9910353608</v>
      </c>
      <c r="P23" s="71">
        <f t="shared" si="8"/>
        <v>-4579358.8640939919</v>
      </c>
      <c r="Q23" s="71">
        <f t="shared" si="8"/>
        <v>-4884072.6207229607</v>
      </c>
      <c r="R23" s="71">
        <f t="shared" si="8"/>
        <v>-5178890.1282762894</v>
      </c>
      <c r="S23" s="71">
        <f t="shared" si="8"/>
        <v>-5463731.1285603717</v>
      </c>
      <c r="T23" s="71">
        <f t="shared" si="8"/>
        <v>-5738514.2367012044</v>
      </c>
      <c r="U23" s="71">
        <f t="shared" si="8"/>
        <v>-6003156.9399655992</v>
      </c>
      <c r="V23" s="71">
        <f t="shared" si="8"/>
        <v>-6257575.5965364445</v>
      </c>
      <c r="W23" s="71">
        <f t="shared" si="8"/>
        <v>-6501685.4342421042</v>
      </c>
      <c r="X23" s="71">
        <f t="shared" si="8"/>
        <v>-6735400.5492400145</v>
      </c>
      <c r="Y23" s="71">
        <f t="shared" si="8"/>
        <v>-6958633.9046545606</v>
      </c>
      <c r="Z23" s="71">
        <f t="shared" si="8"/>
        <v>-7171297.3291693032</v>
      </c>
      <c r="AA23" s="71">
        <f t="shared" si="8"/>
        <v>-7443630.4299604585</v>
      </c>
      <c r="AB23" s="71">
        <f t="shared" si="8"/>
        <v>-7705705.093280863</v>
      </c>
      <c r="AC23" s="71">
        <f t="shared" si="8"/>
        <v>-7957429.7355894111</v>
      </c>
      <c r="AD23" s="71">
        <f t="shared" si="8"/>
        <v>-8198711.6328178607</v>
      </c>
      <c r="AE23" s="71">
        <f t="shared" si="8"/>
        <v>-8429456.9187357649</v>
      </c>
      <c r="AF23" s="71">
        <f t="shared" si="8"/>
        <v>-8649570.583270127</v>
      </c>
      <c r="AG23" s="71">
        <f t="shared" si="8"/>
        <v>-8858956.470779838</v>
      </c>
      <c r="AH23" s="71">
        <f t="shared" si="8"/>
        <v>-9057517.2782849409</v>
      </c>
      <c r="AI23" s="71">
        <f t="shared" si="8"/>
        <v>-9245154.5536507815</v>
      </c>
      <c r="AJ23" s="71">
        <f t="shared" si="8"/>
        <v>-9421768.693727091</v>
      </c>
      <c r="AK23" s="71">
        <f t="shared" si="8"/>
        <v>-9587258.9424420446</v>
      </c>
      <c r="AL23" s="71">
        <f t="shared" si="8"/>
        <v>-9741523.3888513558</v>
      </c>
    </row>
    <row r="24" spans="1:42" x14ac:dyDescent="0.35">
      <c r="A24" s="63" t="s">
        <v>279</v>
      </c>
      <c r="B24" s="34" t="s">
        <v>144</v>
      </c>
      <c r="C24" s="71">
        <f t="shared" ref="C24:AL24" si="9">A_TaxRate*MAX(0,C23)</f>
        <v>0</v>
      </c>
      <c r="D24" s="71">
        <f t="shared" si="9"/>
        <v>0</v>
      </c>
      <c r="E24" s="71">
        <f t="shared" si="9"/>
        <v>0</v>
      </c>
      <c r="F24" s="71">
        <f t="shared" si="9"/>
        <v>0</v>
      </c>
      <c r="G24" s="71">
        <f t="shared" si="9"/>
        <v>0</v>
      </c>
      <c r="H24" s="71">
        <f t="shared" si="9"/>
        <v>0</v>
      </c>
      <c r="I24" s="71">
        <f t="shared" si="9"/>
        <v>0</v>
      </c>
      <c r="J24" s="71">
        <f t="shared" si="9"/>
        <v>0</v>
      </c>
      <c r="K24" s="71">
        <f t="shared" si="9"/>
        <v>0</v>
      </c>
      <c r="L24" s="71">
        <f t="shared" si="9"/>
        <v>0</v>
      </c>
      <c r="M24" s="71">
        <f t="shared" si="9"/>
        <v>0</v>
      </c>
      <c r="N24" s="71">
        <f t="shared" si="9"/>
        <v>0</v>
      </c>
      <c r="O24" s="71">
        <f t="shared" si="9"/>
        <v>0</v>
      </c>
      <c r="P24" s="71">
        <f t="shared" si="9"/>
        <v>0</v>
      </c>
      <c r="Q24" s="71">
        <f t="shared" si="9"/>
        <v>0</v>
      </c>
      <c r="R24" s="71">
        <f t="shared" si="9"/>
        <v>0</v>
      </c>
      <c r="S24" s="71">
        <f t="shared" si="9"/>
        <v>0</v>
      </c>
      <c r="T24" s="71">
        <f t="shared" si="9"/>
        <v>0</v>
      </c>
      <c r="U24" s="71">
        <f t="shared" si="9"/>
        <v>0</v>
      </c>
      <c r="V24" s="71">
        <f t="shared" si="9"/>
        <v>0</v>
      </c>
      <c r="W24" s="71">
        <f t="shared" si="9"/>
        <v>0</v>
      </c>
      <c r="X24" s="71">
        <f t="shared" si="9"/>
        <v>0</v>
      </c>
      <c r="Y24" s="71">
        <f t="shared" si="9"/>
        <v>0</v>
      </c>
      <c r="Z24" s="71">
        <f t="shared" si="9"/>
        <v>0</v>
      </c>
      <c r="AA24" s="71">
        <f t="shared" si="9"/>
        <v>0</v>
      </c>
      <c r="AB24" s="71">
        <f t="shared" si="9"/>
        <v>0</v>
      </c>
      <c r="AC24" s="71">
        <f t="shared" si="9"/>
        <v>0</v>
      </c>
      <c r="AD24" s="71">
        <f t="shared" si="9"/>
        <v>0</v>
      </c>
      <c r="AE24" s="71">
        <f t="shared" si="9"/>
        <v>0</v>
      </c>
      <c r="AF24" s="71">
        <f t="shared" si="9"/>
        <v>0</v>
      </c>
      <c r="AG24" s="71">
        <f t="shared" si="9"/>
        <v>0</v>
      </c>
      <c r="AH24" s="71">
        <f t="shared" si="9"/>
        <v>0</v>
      </c>
      <c r="AI24" s="71">
        <f t="shared" si="9"/>
        <v>0</v>
      </c>
      <c r="AJ24" s="71">
        <f t="shared" si="9"/>
        <v>0</v>
      </c>
      <c r="AK24" s="71">
        <f t="shared" si="9"/>
        <v>0</v>
      </c>
      <c r="AL24" s="71">
        <f t="shared" si="9"/>
        <v>0</v>
      </c>
    </row>
    <row r="25" spans="1:42" x14ac:dyDescent="0.35">
      <c r="A25" s="33" t="s">
        <v>280</v>
      </c>
      <c r="B25" s="34" t="s">
        <v>144</v>
      </c>
      <c r="C25" s="58">
        <f>C24</f>
        <v>0</v>
      </c>
      <c r="D25" s="58">
        <f t="shared" ref="D25:AL25" si="10">MAX(0,D24-C24)</f>
        <v>0</v>
      </c>
      <c r="E25" s="58">
        <f t="shared" si="10"/>
        <v>0</v>
      </c>
      <c r="F25" s="58">
        <f t="shared" si="10"/>
        <v>0</v>
      </c>
      <c r="G25" s="58">
        <f t="shared" si="10"/>
        <v>0</v>
      </c>
      <c r="H25" s="58">
        <f t="shared" si="10"/>
        <v>0</v>
      </c>
      <c r="I25" s="58">
        <f t="shared" si="10"/>
        <v>0</v>
      </c>
      <c r="J25" s="58">
        <f t="shared" si="10"/>
        <v>0</v>
      </c>
      <c r="K25" s="58">
        <f t="shared" si="10"/>
        <v>0</v>
      </c>
      <c r="L25" s="58">
        <f t="shared" si="10"/>
        <v>0</v>
      </c>
      <c r="M25" s="58">
        <f t="shared" si="10"/>
        <v>0</v>
      </c>
      <c r="N25" s="58">
        <f t="shared" si="10"/>
        <v>0</v>
      </c>
      <c r="O25" s="58">
        <f t="shared" si="10"/>
        <v>0</v>
      </c>
      <c r="P25" s="58">
        <f t="shared" si="10"/>
        <v>0</v>
      </c>
      <c r="Q25" s="58">
        <f t="shared" si="10"/>
        <v>0</v>
      </c>
      <c r="R25" s="58">
        <f t="shared" si="10"/>
        <v>0</v>
      </c>
      <c r="S25" s="58">
        <f t="shared" si="10"/>
        <v>0</v>
      </c>
      <c r="T25" s="58">
        <f t="shared" si="10"/>
        <v>0</v>
      </c>
      <c r="U25" s="58">
        <f t="shared" si="10"/>
        <v>0</v>
      </c>
      <c r="V25" s="58">
        <f t="shared" si="10"/>
        <v>0</v>
      </c>
      <c r="W25" s="58">
        <f t="shared" si="10"/>
        <v>0</v>
      </c>
      <c r="X25" s="58">
        <f t="shared" si="10"/>
        <v>0</v>
      </c>
      <c r="Y25" s="58">
        <f t="shared" si="10"/>
        <v>0</v>
      </c>
      <c r="Z25" s="58">
        <f t="shared" si="10"/>
        <v>0</v>
      </c>
      <c r="AA25" s="58">
        <f t="shared" si="10"/>
        <v>0</v>
      </c>
      <c r="AB25" s="58">
        <f t="shared" si="10"/>
        <v>0</v>
      </c>
      <c r="AC25" s="58">
        <f t="shared" si="10"/>
        <v>0</v>
      </c>
      <c r="AD25" s="58">
        <f t="shared" si="10"/>
        <v>0</v>
      </c>
      <c r="AE25" s="58">
        <f t="shared" si="10"/>
        <v>0</v>
      </c>
      <c r="AF25" s="58">
        <f t="shared" si="10"/>
        <v>0</v>
      </c>
      <c r="AG25" s="58">
        <f t="shared" si="10"/>
        <v>0</v>
      </c>
      <c r="AH25" s="58">
        <f t="shared" si="10"/>
        <v>0</v>
      </c>
      <c r="AI25" s="58">
        <f t="shared" si="10"/>
        <v>0</v>
      </c>
      <c r="AJ25" s="58">
        <f t="shared" si="10"/>
        <v>0</v>
      </c>
      <c r="AK25" s="58">
        <f t="shared" si="10"/>
        <v>0</v>
      </c>
      <c r="AL25" s="58">
        <f t="shared" si="10"/>
        <v>0</v>
      </c>
      <c r="AN25" s="58">
        <f>SUM(C25:N25)</f>
        <v>0</v>
      </c>
      <c r="AO25" s="58">
        <f>SUM(O25:Z25)</f>
        <v>0</v>
      </c>
      <c r="AP25" s="58">
        <f>SUM(AA25:AL25)</f>
        <v>0</v>
      </c>
    </row>
    <row r="26" spans="1:42" x14ac:dyDescent="0.35">
      <c r="A26" s="68" t="s">
        <v>281</v>
      </c>
      <c r="B26" s="60" t="s">
        <v>144</v>
      </c>
      <c r="C26" s="61">
        <f t="shared" ref="C26:AL26" si="11">C22-C25</f>
        <v>-378404.92338888894</v>
      </c>
      <c r="D26" s="61">
        <f t="shared" si="11"/>
        <v>-369533.09750311892</v>
      </c>
      <c r="E26" s="61">
        <f t="shared" si="11"/>
        <v>-360596.6891056014</v>
      </c>
      <c r="F26" s="61">
        <f t="shared" si="11"/>
        <v>-351594.58314692258</v>
      </c>
      <c r="G26" s="61">
        <f t="shared" si="11"/>
        <v>-342525.66405132593</v>
      </c>
      <c r="H26" s="61">
        <f t="shared" si="11"/>
        <v>-333388.81566947274</v>
      </c>
      <c r="I26" s="61">
        <f t="shared" si="11"/>
        <v>-324182.92123130913</v>
      </c>
      <c r="J26" s="61">
        <f t="shared" si="11"/>
        <v>-314906.86329903681</v>
      </c>
      <c r="K26" s="61">
        <f t="shared" si="11"/>
        <v>-305559.52372018655</v>
      </c>
      <c r="L26" s="61">
        <f t="shared" si="11"/>
        <v>-296139.78358079278</v>
      </c>
      <c r="M26" s="61">
        <f t="shared" si="11"/>
        <v>-286646.52315866511</v>
      </c>
      <c r="N26" s="61">
        <f t="shared" si="11"/>
        <v>-277078.62187675532</v>
      </c>
      <c r="O26" s="61">
        <f t="shared" si="11"/>
        <v>-324269.98130328517</v>
      </c>
      <c r="P26" s="61">
        <f t="shared" si="11"/>
        <v>-314530.87305863149</v>
      </c>
      <c r="Q26" s="61">
        <f t="shared" si="11"/>
        <v>-304713.75662896869</v>
      </c>
      <c r="R26" s="61">
        <f t="shared" si="11"/>
        <v>-294817.50755332864</v>
      </c>
      <c r="S26" s="61">
        <f t="shared" si="11"/>
        <v>-284841.00028408202</v>
      </c>
      <c r="T26" s="61">
        <f t="shared" si="11"/>
        <v>-274783.10814083274</v>
      </c>
      <c r="U26" s="61">
        <f t="shared" si="11"/>
        <v>-264642.70326439466</v>
      </c>
      <c r="V26" s="61">
        <f t="shared" si="11"/>
        <v>-254418.65657084572</v>
      </c>
      <c r="W26" s="61">
        <f t="shared" si="11"/>
        <v>-244109.83770565977</v>
      </c>
      <c r="X26" s="61">
        <f t="shared" si="11"/>
        <v>-233715.11499790993</v>
      </c>
      <c r="Y26" s="61">
        <f t="shared" si="11"/>
        <v>-223233.35541454627</v>
      </c>
      <c r="Z26" s="61">
        <f t="shared" si="11"/>
        <v>-212663.42451474295</v>
      </c>
      <c r="AA26" s="61">
        <f t="shared" si="11"/>
        <v>-272333.10079115548</v>
      </c>
      <c r="AB26" s="61">
        <f t="shared" si="11"/>
        <v>-262074.66332040424</v>
      </c>
      <c r="AC26" s="61">
        <f t="shared" si="11"/>
        <v>-251724.64230854856</v>
      </c>
      <c r="AD26" s="61">
        <f t="shared" si="11"/>
        <v>-241281.89722844993</v>
      </c>
      <c r="AE26" s="61">
        <f t="shared" si="11"/>
        <v>-230745.28591790443</v>
      </c>
      <c r="AF26" s="61">
        <f t="shared" si="11"/>
        <v>-220113.66453436247</v>
      </c>
      <c r="AG26" s="61">
        <f t="shared" si="11"/>
        <v>-209385.88750971103</v>
      </c>
      <c r="AH26" s="61">
        <f t="shared" si="11"/>
        <v>-198560.80750510335</v>
      </c>
      <c r="AI26" s="61">
        <f t="shared" si="11"/>
        <v>-187637.27536584056</v>
      </c>
      <c r="AJ26" s="61">
        <f t="shared" si="11"/>
        <v>-176614.14007630866</v>
      </c>
      <c r="AK26" s="61">
        <f t="shared" si="11"/>
        <v>-165490.24871495401</v>
      </c>
      <c r="AL26" s="61">
        <f t="shared" si="11"/>
        <v>-154264.44640931184</v>
      </c>
      <c r="AN26" s="62">
        <f>SUM(C26:N26)</f>
        <v>-3940558.009732076</v>
      </c>
      <c r="AO26" s="62">
        <f>SUM(O26:Z26)</f>
        <v>-3230739.3194372277</v>
      </c>
      <c r="AP26" s="62">
        <f>SUM(AA26:AL26)</f>
        <v>-2570226.0596820544</v>
      </c>
    </row>
    <row r="27" spans="1:42" x14ac:dyDescent="0.35">
      <c r="A27" s="63" t="s">
        <v>282</v>
      </c>
      <c r="B27" s="34" t="s">
        <v>114</v>
      </c>
      <c r="C27" s="70">
        <f t="shared" ref="C27:AL27" si="12">IFERROR(C26/C7,0)</f>
        <v>-1.0567726499092063</v>
      </c>
      <c r="D27" s="70">
        <f t="shared" si="12"/>
        <v>-0.96428008674797561</v>
      </c>
      <c r="E27" s="70">
        <f t="shared" si="12"/>
        <v>-0.8828666362738522</v>
      </c>
      <c r="F27" s="70">
        <f t="shared" si="12"/>
        <v>-0.81063499268324823</v>
      </c>
      <c r="G27" s="70">
        <f t="shared" si="12"/>
        <v>-0.74609746982423053</v>
      </c>
      <c r="H27" s="70">
        <f t="shared" si="12"/>
        <v>-0.68807112185544062</v>
      </c>
      <c r="I27" s="70">
        <f t="shared" si="12"/>
        <v>-0.63560351822344441</v>
      </c>
      <c r="J27" s="70">
        <f t="shared" si="12"/>
        <v>-0.58791920552630972</v>
      </c>
      <c r="K27" s="70">
        <f t="shared" si="12"/>
        <v>-0.5443804283810576</v>
      </c>
      <c r="L27" s="70">
        <f t="shared" si="12"/>
        <v>-0.50445786701120854</v>
      </c>
      <c r="M27" s="70">
        <f t="shared" si="12"/>
        <v>-0.46770853291720754</v>
      </c>
      <c r="N27" s="70">
        <f t="shared" si="12"/>
        <v>-0.43375885983146678</v>
      </c>
      <c r="O27" s="70">
        <f t="shared" si="12"/>
        <v>-0.48778625145363991</v>
      </c>
      <c r="P27" s="70">
        <f t="shared" si="12"/>
        <v>-0.45527621181977457</v>
      </c>
      <c r="Q27" s="70">
        <f t="shared" si="12"/>
        <v>-0.42497164477564786</v>
      </c>
      <c r="R27" s="70">
        <f t="shared" si="12"/>
        <v>-0.39664795669308756</v>
      </c>
      <c r="S27" s="70">
        <f t="shared" si="12"/>
        <v>-0.37010999038965203</v>
      </c>
      <c r="T27" s="70">
        <f t="shared" si="12"/>
        <v>-0.34518735683645524</v>
      </c>
      <c r="U27" s="70">
        <f t="shared" si="12"/>
        <v>-0.3217306279577361</v>
      </c>
      <c r="V27" s="70">
        <f t="shared" si="12"/>
        <v>-0.29960821074355531</v>
      </c>
      <c r="W27" s="70">
        <f t="shared" si="12"/>
        <v>-0.27870376455084095</v>
      </c>
      <c r="X27" s="70">
        <f t="shared" si="12"/>
        <v>-0.25891405457005262</v>
      </c>
      <c r="Y27" s="70">
        <f t="shared" si="12"/>
        <v>-0.24014715787371671</v>
      </c>
      <c r="Z27" s="70">
        <f t="shared" si="12"/>
        <v>-0.22232095628090645</v>
      </c>
      <c r="AA27" s="70">
        <f t="shared" si="12"/>
        <v>-0.27685977297354442</v>
      </c>
      <c r="AB27" s="70">
        <f t="shared" si="12"/>
        <v>-0.25926452759809188</v>
      </c>
      <c r="AC27" s="70">
        <f t="shared" si="12"/>
        <v>-0.24247928439505953</v>
      </c>
      <c r="AD27" s="70">
        <f t="shared" si="12"/>
        <v>-0.22644522665096523</v>
      </c>
      <c r="AE27" s="70">
        <f t="shared" si="12"/>
        <v>-0.21110907597464271</v>
      </c>
      <c r="AF27" s="70">
        <f t="shared" si="12"/>
        <v>-0.19642245610033082</v>
      </c>
      <c r="AG27" s="70">
        <f t="shared" si="12"/>
        <v>-0.18234134241508493</v>
      </c>
      <c r="AH27" s="70">
        <f t="shared" si="12"/>
        <v>-0.16882558403030673</v>
      </c>
      <c r="AI27" s="70">
        <f t="shared" si="12"/>
        <v>-0.15583848748339718</v>
      </c>
      <c r="AJ27" s="70">
        <f t="shared" si="12"/>
        <v>-0.14334645299259494</v>
      </c>
      <c r="AK27" s="70">
        <f t="shared" si="12"/>
        <v>-0.13131865568440396</v>
      </c>
      <c r="AL27" s="70">
        <f t="shared" si="12"/>
        <v>-0.11972676543749068</v>
      </c>
      <c r="AN27" s="70">
        <f>IFERROR(AN26/AN7,0)</f>
        <v>-0.65975588722731304</v>
      </c>
      <c r="AO27" s="70">
        <f>IFERROR(AO26/AO7,0)</f>
        <v>-0.33244924022131483</v>
      </c>
      <c r="AP27" s="70">
        <f>IFERROR(AP26/AP7,0)</f>
        <v>-0.18869540427361478</v>
      </c>
    </row>
    <row r="29" spans="1:42" ht="24" customHeight="1" x14ac:dyDescent="0.35">
      <c r="A29" s="64" t="s">
        <v>283</v>
      </c>
    </row>
  </sheetData>
  <hyperlinks>
    <hyperlink ref="E1" r:id="rId1" location="Cover!A1" xr:uid="{00000000-0004-0000-0700-000000000000}"/>
  </hyperlinks>
  <pageMargins left="0.75" right="0.75" top="1" bottom="1" header="0.5" footer="0.5"/>
  <pageSetup fitToHeight="0" orientation="landscape" horizontalDpi="300" verticalDpi="300"/>
  <headerFooter>
    <oddHeader>&amp;LNovaFlow Analytics&amp;RIncome Statement</oddHeader>
    <oddFooter>&amp;LFP&amp;&amp;A Planning Model v1.0&amp;CConfidential&amp;RPage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03040"/>
    <pageSetUpPr fitToPage="1"/>
  </sheetPr>
  <dimension ref="A1:AP28"/>
  <sheetViews>
    <sheetView showGridLines="0" zoomScaleNormal="100" workbookViewId="0">
      <pane xSplit="2" ySplit="5" topLeftCell="O13" activePane="bottomRight" state="frozen"/>
      <selection pane="topRight" activeCell="C1" sqref="C1"/>
      <selection pane="bottomLeft" activeCell="A6" sqref="A6"/>
      <selection pane="bottomRight" activeCell="AN8" sqref="AN8"/>
    </sheetView>
  </sheetViews>
  <sheetFormatPr defaultColWidth="8.6328125" defaultRowHeight="14.5" x14ac:dyDescent="0.35"/>
  <cols>
    <col min="1" max="1" width="36" customWidth="1"/>
    <col min="2" max="2" width="9" customWidth="1"/>
    <col min="3" max="38" width="11.453125" customWidth="1"/>
    <col min="39" max="39" width="2" customWidth="1"/>
    <col min="40" max="42" width="13.453125" customWidth="1"/>
  </cols>
  <sheetData>
    <row r="1" spans="1:42" ht="13.5" customHeight="1" x14ac:dyDescent="0.35">
      <c r="A1" s="13" t="s">
        <v>0</v>
      </c>
      <c r="B1" s="14"/>
      <c r="C1" s="14"/>
      <c r="D1" s="14"/>
      <c r="E1" s="15" t="s">
        <v>34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 spans="1:42" ht="21.75" customHeight="1" x14ac:dyDescent="0.45">
      <c r="A2" s="16" t="s">
        <v>24</v>
      </c>
      <c r="B2" s="14"/>
      <c r="C2" s="14"/>
      <c r="D2" s="14"/>
      <c r="E2" s="17" t="s">
        <v>284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ht="3.75" customHeigh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</row>
    <row r="5" spans="1:42" x14ac:dyDescent="0.35">
      <c r="A5" s="54" t="s">
        <v>198</v>
      </c>
      <c r="C5" s="55">
        <f>ModelStart</f>
        <v>46023</v>
      </c>
      <c r="D5" s="55">
        <f t="shared" ref="D5:AL5" si="0">EDATE(C5,1)</f>
        <v>46054</v>
      </c>
      <c r="E5" s="55">
        <f t="shared" si="0"/>
        <v>46082</v>
      </c>
      <c r="F5" s="55">
        <f t="shared" si="0"/>
        <v>46113</v>
      </c>
      <c r="G5" s="55">
        <f t="shared" si="0"/>
        <v>46143</v>
      </c>
      <c r="H5" s="55">
        <f t="shared" si="0"/>
        <v>46174</v>
      </c>
      <c r="I5" s="55">
        <f t="shared" si="0"/>
        <v>46204</v>
      </c>
      <c r="J5" s="55">
        <f t="shared" si="0"/>
        <v>46235</v>
      </c>
      <c r="K5" s="55">
        <f t="shared" si="0"/>
        <v>46266</v>
      </c>
      <c r="L5" s="55">
        <f t="shared" si="0"/>
        <v>46296</v>
      </c>
      <c r="M5" s="55">
        <f t="shared" si="0"/>
        <v>46327</v>
      </c>
      <c r="N5" s="55">
        <f t="shared" si="0"/>
        <v>46357</v>
      </c>
      <c r="O5" s="55">
        <f t="shared" si="0"/>
        <v>46388</v>
      </c>
      <c r="P5" s="55">
        <f t="shared" si="0"/>
        <v>46419</v>
      </c>
      <c r="Q5" s="55">
        <f t="shared" si="0"/>
        <v>46447</v>
      </c>
      <c r="R5" s="55">
        <f t="shared" si="0"/>
        <v>46478</v>
      </c>
      <c r="S5" s="55">
        <f t="shared" si="0"/>
        <v>46508</v>
      </c>
      <c r="T5" s="55">
        <f t="shared" si="0"/>
        <v>46539</v>
      </c>
      <c r="U5" s="55">
        <f t="shared" si="0"/>
        <v>46569</v>
      </c>
      <c r="V5" s="55">
        <f t="shared" si="0"/>
        <v>46600</v>
      </c>
      <c r="W5" s="55">
        <f t="shared" si="0"/>
        <v>46631</v>
      </c>
      <c r="X5" s="55">
        <f t="shared" si="0"/>
        <v>46661</v>
      </c>
      <c r="Y5" s="55">
        <f t="shared" si="0"/>
        <v>46692</v>
      </c>
      <c r="Z5" s="55">
        <f t="shared" si="0"/>
        <v>46722</v>
      </c>
      <c r="AA5" s="55">
        <f t="shared" si="0"/>
        <v>46753</v>
      </c>
      <c r="AB5" s="55">
        <f t="shared" si="0"/>
        <v>46784</v>
      </c>
      <c r="AC5" s="55">
        <f t="shared" si="0"/>
        <v>46813</v>
      </c>
      <c r="AD5" s="55">
        <f t="shared" si="0"/>
        <v>46844</v>
      </c>
      <c r="AE5" s="55">
        <f t="shared" si="0"/>
        <v>46874</v>
      </c>
      <c r="AF5" s="55">
        <f t="shared" si="0"/>
        <v>46905</v>
      </c>
      <c r="AG5" s="55">
        <f t="shared" si="0"/>
        <v>46935</v>
      </c>
      <c r="AH5" s="55">
        <f t="shared" si="0"/>
        <v>46966</v>
      </c>
      <c r="AI5" s="55">
        <f t="shared" si="0"/>
        <v>46997</v>
      </c>
      <c r="AJ5" s="55">
        <f t="shared" si="0"/>
        <v>47027</v>
      </c>
      <c r="AK5" s="55">
        <f t="shared" si="0"/>
        <v>47058</v>
      </c>
      <c r="AL5" s="55">
        <f t="shared" si="0"/>
        <v>47088</v>
      </c>
      <c r="AN5" s="69" t="s">
        <v>263</v>
      </c>
      <c r="AO5" s="69" t="s">
        <v>264</v>
      </c>
      <c r="AP5" s="69" t="s">
        <v>265</v>
      </c>
    </row>
    <row r="7" spans="1:42" x14ac:dyDescent="0.35">
      <c r="A7" s="31" t="s">
        <v>285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</row>
    <row r="8" spans="1:42" x14ac:dyDescent="0.35">
      <c r="A8" s="33" t="s">
        <v>281</v>
      </c>
      <c r="B8" s="34" t="s">
        <v>144</v>
      </c>
      <c r="C8" s="67">
        <f>'Income Statement'!C26</f>
        <v>-378404.92338888894</v>
      </c>
      <c r="D8" s="67">
        <f>'Income Statement'!D26</f>
        <v>-369533.09750311892</v>
      </c>
      <c r="E8" s="67">
        <f>'Income Statement'!E26</f>
        <v>-360596.6891056014</v>
      </c>
      <c r="F8" s="67">
        <f>'Income Statement'!F26</f>
        <v>-351594.58314692258</v>
      </c>
      <c r="G8" s="67">
        <f>'Income Statement'!G26</f>
        <v>-342525.66405132593</v>
      </c>
      <c r="H8" s="67">
        <f>'Income Statement'!H26</f>
        <v>-333388.81566947274</v>
      </c>
      <c r="I8" s="67">
        <f>'Income Statement'!I26</f>
        <v>-324182.92123130913</v>
      </c>
      <c r="J8" s="67">
        <f>'Income Statement'!J26</f>
        <v>-314906.86329903681</v>
      </c>
      <c r="K8" s="67">
        <f>'Income Statement'!K26</f>
        <v>-305559.52372018655</v>
      </c>
      <c r="L8" s="67">
        <f>'Income Statement'!L26</f>
        <v>-296139.78358079278</v>
      </c>
      <c r="M8" s="67">
        <f>'Income Statement'!M26</f>
        <v>-286646.52315866511</v>
      </c>
      <c r="N8" s="67">
        <f>'Income Statement'!N26</f>
        <v>-277078.62187675532</v>
      </c>
      <c r="O8" s="67">
        <f>'Income Statement'!O26</f>
        <v>-324269.98130328517</v>
      </c>
      <c r="P8" s="67">
        <f>'Income Statement'!P26</f>
        <v>-314530.87305863149</v>
      </c>
      <c r="Q8" s="67">
        <f>'Income Statement'!Q26</f>
        <v>-304713.75662896869</v>
      </c>
      <c r="R8" s="67">
        <f>'Income Statement'!R26</f>
        <v>-294817.50755332864</v>
      </c>
      <c r="S8" s="67">
        <f>'Income Statement'!S26</f>
        <v>-284841.00028408202</v>
      </c>
      <c r="T8" s="67">
        <f>'Income Statement'!T26</f>
        <v>-274783.10814083274</v>
      </c>
      <c r="U8" s="67">
        <f>'Income Statement'!U26</f>
        <v>-264642.70326439466</v>
      </c>
      <c r="V8" s="67">
        <f>'Income Statement'!V26</f>
        <v>-254418.65657084572</v>
      </c>
      <c r="W8" s="67">
        <f>'Income Statement'!W26</f>
        <v>-244109.83770565977</v>
      </c>
      <c r="X8" s="67">
        <f>'Income Statement'!X26</f>
        <v>-233715.11499790993</v>
      </c>
      <c r="Y8" s="67">
        <f>'Income Statement'!Y26</f>
        <v>-223233.35541454627</v>
      </c>
      <c r="Z8" s="67">
        <f>'Income Statement'!Z26</f>
        <v>-212663.42451474295</v>
      </c>
      <c r="AA8" s="67">
        <f>'Income Statement'!AA26</f>
        <v>-272333.10079115548</v>
      </c>
      <c r="AB8" s="67">
        <f>'Income Statement'!AB26</f>
        <v>-262074.66332040424</v>
      </c>
      <c r="AC8" s="67">
        <f>'Income Statement'!AC26</f>
        <v>-251724.64230854856</v>
      </c>
      <c r="AD8" s="67">
        <f>'Income Statement'!AD26</f>
        <v>-241281.89722844993</v>
      </c>
      <c r="AE8" s="67">
        <f>'Income Statement'!AE26</f>
        <v>-230745.28591790443</v>
      </c>
      <c r="AF8" s="67">
        <f>'Income Statement'!AF26</f>
        <v>-220113.66453436247</v>
      </c>
      <c r="AG8" s="67">
        <f>'Income Statement'!AG26</f>
        <v>-209385.88750971103</v>
      </c>
      <c r="AH8" s="67">
        <f>'Income Statement'!AH26</f>
        <v>-198560.80750510335</v>
      </c>
      <c r="AI8" s="67">
        <f>'Income Statement'!AI26</f>
        <v>-187637.27536584056</v>
      </c>
      <c r="AJ8" s="67">
        <f>'Income Statement'!AJ26</f>
        <v>-176614.14007630866</v>
      </c>
      <c r="AK8" s="67">
        <f>'Income Statement'!AK26</f>
        <v>-165490.24871495401</v>
      </c>
      <c r="AL8" s="67">
        <f>'Income Statement'!AL26</f>
        <v>-154264.44640931184</v>
      </c>
      <c r="AN8" s="58">
        <f>SUM(C8:N8)</f>
        <v>-3940558.009732076</v>
      </c>
      <c r="AO8" s="58">
        <f>SUM(O8:Z8)</f>
        <v>-3230739.3194372277</v>
      </c>
      <c r="AP8" s="58">
        <f>SUM(AA8:AL8)</f>
        <v>-2570226.0596820544</v>
      </c>
    </row>
    <row r="9" spans="1:42" x14ac:dyDescent="0.35">
      <c r="A9" s="33" t="s">
        <v>286</v>
      </c>
      <c r="B9" s="34" t="s">
        <v>144</v>
      </c>
      <c r="C9" s="67">
        <f>'Income Statement'!C19</f>
        <v>1111.1111111111111</v>
      </c>
      <c r="D9" s="67">
        <f>'Income Statement'!D19</f>
        <v>2222.2222222222222</v>
      </c>
      <c r="E9" s="67">
        <f>'Income Statement'!E19</f>
        <v>3333.3333333333335</v>
      </c>
      <c r="F9" s="67">
        <f>'Income Statement'!F19</f>
        <v>4444.4444444444443</v>
      </c>
      <c r="G9" s="67">
        <f>'Income Statement'!G19</f>
        <v>5555.5555555555557</v>
      </c>
      <c r="H9" s="67">
        <f>'Income Statement'!H19</f>
        <v>6666.666666666667</v>
      </c>
      <c r="I9" s="67">
        <f>'Income Statement'!I19</f>
        <v>7777.7777777777774</v>
      </c>
      <c r="J9" s="67">
        <f>'Income Statement'!J19</f>
        <v>8888.8888888888887</v>
      </c>
      <c r="K9" s="67">
        <f>'Income Statement'!K19</f>
        <v>10000</v>
      </c>
      <c r="L9" s="67">
        <f>'Income Statement'!L19</f>
        <v>11111.111111111111</v>
      </c>
      <c r="M9" s="67">
        <f>'Income Statement'!M19</f>
        <v>12222.222222222223</v>
      </c>
      <c r="N9" s="67">
        <f>'Income Statement'!N19</f>
        <v>13333.333333333334</v>
      </c>
      <c r="O9" s="67">
        <f>'Income Statement'!O19</f>
        <v>14444.444444444445</v>
      </c>
      <c r="P9" s="67">
        <f>'Income Statement'!P19</f>
        <v>15555.555555555555</v>
      </c>
      <c r="Q9" s="67">
        <f>'Income Statement'!Q19</f>
        <v>16666.666666666668</v>
      </c>
      <c r="R9" s="67">
        <f>'Income Statement'!R19</f>
        <v>17777.777777777777</v>
      </c>
      <c r="S9" s="67">
        <f>'Income Statement'!S19</f>
        <v>18888.888888888891</v>
      </c>
      <c r="T9" s="67">
        <f>'Income Statement'!T19</f>
        <v>20000</v>
      </c>
      <c r="U9" s="67">
        <f>'Income Statement'!U19</f>
        <v>21111.111111111109</v>
      </c>
      <c r="V9" s="67">
        <f>'Income Statement'!V19</f>
        <v>22222.222222222223</v>
      </c>
      <c r="W9" s="67">
        <f>'Income Statement'!W19</f>
        <v>23333.333333333332</v>
      </c>
      <c r="X9" s="67">
        <f>'Income Statement'!X19</f>
        <v>24444.444444444445</v>
      </c>
      <c r="Y9" s="67">
        <f>'Income Statement'!Y19</f>
        <v>25555.555555555555</v>
      </c>
      <c r="Z9" s="67">
        <f>'Income Statement'!Z19</f>
        <v>26666.666666666668</v>
      </c>
      <c r="AA9" s="67">
        <f>'Income Statement'!AA19</f>
        <v>27777.777777777777</v>
      </c>
      <c r="AB9" s="67">
        <f>'Income Statement'!AB19</f>
        <v>28888.888888888891</v>
      </c>
      <c r="AC9" s="67">
        <f>'Income Statement'!AC19</f>
        <v>30000</v>
      </c>
      <c r="AD9" s="67">
        <f>'Income Statement'!AD19</f>
        <v>31111.111111111109</v>
      </c>
      <c r="AE9" s="67">
        <f>'Income Statement'!AE19</f>
        <v>32222.222222222223</v>
      </c>
      <c r="AF9" s="67">
        <f>'Income Statement'!AF19</f>
        <v>33333.333333333336</v>
      </c>
      <c r="AG9" s="67">
        <f>'Income Statement'!AG19</f>
        <v>34444.444444444445</v>
      </c>
      <c r="AH9" s="67">
        <f>'Income Statement'!AH19</f>
        <v>35555.555555555555</v>
      </c>
      <c r="AI9" s="67">
        <f>'Income Statement'!AI19</f>
        <v>36666.666666666664</v>
      </c>
      <c r="AJ9" s="67">
        <f>'Income Statement'!AJ19</f>
        <v>37777.777777777781</v>
      </c>
      <c r="AK9" s="67">
        <f>'Income Statement'!AK19</f>
        <v>38888.888888888891</v>
      </c>
      <c r="AL9" s="67">
        <f>'Income Statement'!AL19</f>
        <v>40000</v>
      </c>
      <c r="AN9" s="58">
        <f>SUM(C9:N9)</f>
        <v>86666.666666666657</v>
      </c>
      <c r="AO9" s="58">
        <f>SUM(O9:Z9)</f>
        <v>246666.66666666669</v>
      </c>
      <c r="AP9" s="58">
        <f>SUM(AA9:AL9)</f>
        <v>406666.66666666663</v>
      </c>
    </row>
    <row r="10" spans="1:42" x14ac:dyDescent="0.35">
      <c r="A10" s="33" t="s">
        <v>227</v>
      </c>
      <c r="B10" s="34" t="s">
        <v>144</v>
      </c>
      <c r="C10" s="67">
        <f>'Revenue Model'!C52</f>
        <v>148500</v>
      </c>
      <c r="D10" s="67">
        <f>'Revenue Model'!D52</f>
        <v>148986.15035765659</v>
      </c>
      <c r="E10" s="67">
        <f>'Revenue Model'!E52</f>
        <v>149473.89224507904</v>
      </c>
      <c r="F10" s="67">
        <f>'Revenue Model'!F52</f>
        <v>149963.23087252188</v>
      </c>
      <c r="G10" s="67">
        <f>'Revenue Model'!G52</f>
        <v>150454.17146729637</v>
      </c>
      <c r="H10" s="67">
        <f>'Revenue Model'!H52</f>
        <v>150946.71927382651</v>
      </c>
      <c r="I10" s="67">
        <f>'Revenue Model'!I52</f>
        <v>151440.87955370569</v>
      </c>
      <c r="J10" s="67">
        <f>'Revenue Model'!J52</f>
        <v>151936.65758575196</v>
      </c>
      <c r="K10" s="67">
        <f>'Revenue Model'!K52</f>
        <v>152434.05866606464</v>
      </c>
      <c r="L10" s="67">
        <f>'Revenue Model'!L52</f>
        <v>152933.08810808184</v>
      </c>
      <c r="M10" s="67">
        <f>'Revenue Model'!M52</f>
        <v>153433.75124263577</v>
      </c>
      <c r="N10" s="67">
        <f>'Revenue Model'!N52</f>
        <v>153936.05341801094</v>
      </c>
      <c r="O10" s="67">
        <f>'Revenue Model'!O52</f>
        <v>154440</v>
      </c>
      <c r="P10" s="67">
        <f>'Revenue Model'!P52</f>
        <v>154945.59637196292</v>
      </c>
      <c r="Q10" s="67">
        <f>'Revenue Model'!Q52</f>
        <v>155452.84793488227</v>
      </c>
      <c r="R10" s="67">
        <f>'Revenue Model'!R52</f>
        <v>155961.76010742271</v>
      </c>
      <c r="S10" s="67">
        <f>'Revenue Model'!S52</f>
        <v>156472.33832598838</v>
      </c>
      <c r="T10" s="67">
        <f>'Revenue Model'!T52</f>
        <v>156984.58804477961</v>
      </c>
      <c r="U10" s="67">
        <f>'Revenue Model'!U52</f>
        <v>157498.51473585411</v>
      </c>
      <c r="V10" s="67">
        <f>'Revenue Model'!V52</f>
        <v>158014.123889182</v>
      </c>
      <c r="W10" s="67">
        <f>'Revenue Model'!W52</f>
        <v>158531.42101270729</v>
      </c>
      <c r="X10" s="67">
        <f>'Revenue Model'!X52</f>
        <v>159050.41163240513</v>
      </c>
      <c r="Y10" s="67">
        <f>'Revenue Model'!Y52</f>
        <v>159571.10129234125</v>
      </c>
      <c r="Z10" s="67">
        <f>'Revenue Model'!Z52</f>
        <v>160093.49555473146</v>
      </c>
      <c r="AA10" s="67">
        <f>'Revenue Model'!AA52</f>
        <v>160617.60000000009</v>
      </c>
      <c r="AB10" s="67">
        <f>'Revenue Model'!AB52</f>
        <v>161143.42022684147</v>
      </c>
      <c r="AC10" s="67">
        <f>'Revenue Model'!AC52</f>
        <v>161670.96185227751</v>
      </c>
      <c r="AD10" s="67">
        <f>'Revenue Model'!AD52</f>
        <v>162200.23051171959</v>
      </c>
      <c r="AE10" s="67">
        <f>'Revenue Model'!AE52</f>
        <v>162731.23185902787</v>
      </c>
      <c r="AF10" s="67">
        <f>'Revenue Model'!AF52</f>
        <v>163263.97156657116</v>
      </c>
      <c r="AG10" s="67">
        <f>'Revenue Model'!AG52</f>
        <v>163798.45532528823</v>
      </c>
      <c r="AH10" s="67">
        <f>'Revenue Model'!AH52</f>
        <v>164334.68884474924</v>
      </c>
      <c r="AI10" s="67">
        <f>'Revenue Model'!AI52</f>
        <v>164872.67785321549</v>
      </c>
      <c r="AJ10" s="67">
        <f>'Revenue Model'!AJ52</f>
        <v>165412.4280977014</v>
      </c>
      <c r="AK10" s="67">
        <f>'Revenue Model'!AK52</f>
        <v>165953.94534403505</v>
      </c>
      <c r="AL10" s="67">
        <f>'Revenue Model'!AL52</f>
        <v>166497.23537692078</v>
      </c>
      <c r="AN10" s="58">
        <f>SUM(C10:N10)</f>
        <v>1814438.6527906312</v>
      </c>
      <c r="AO10" s="58">
        <f>SUM(O10:Z10)</f>
        <v>1887016.1989022573</v>
      </c>
      <c r="AP10" s="58">
        <f>SUM(AA10:AL10)</f>
        <v>1962496.8468583478</v>
      </c>
    </row>
    <row r="11" spans="1:42" x14ac:dyDescent="0.35">
      <c r="A11" s="72" t="s">
        <v>287</v>
      </c>
    </row>
    <row r="12" spans="1:42" x14ac:dyDescent="0.35">
      <c r="A12" s="68" t="s">
        <v>288</v>
      </c>
      <c r="B12" s="60" t="s">
        <v>144</v>
      </c>
      <c r="C12" s="61">
        <f t="shared" ref="C12:AL12" si="1">C8+C9+C10</f>
        <v>-228793.81227777782</v>
      </c>
      <c r="D12" s="61">
        <f t="shared" si="1"/>
        <v>-218324.72492324008</v>
      </c>
      <c r="E12" s="61">
        <f t="shared" si="1"/>
        <v>-207789.46352718904</v>
      </c>
      <c r="F12" s="61">
        <f t="shared" si="1"/>
        <v>-197186.90782995627</v>
      </c>
      <c r="G12" s="61">
        <f t="shared" si="1"/>
        <v>-186515.937028474</v>
      </c>
      <c r="H12" s="61">
        <f t="shared" si="1"/>
        <v>-175775.42972897954</v>
      </c>
      <c r="I12" s="61">
        <f t="shared" si="1"/>
        <v>-164964.26389982569</v>
      </c>
      <c r="J12" s="61">
        <f t="shared" si="1"/>
        <v>-154081.31682439597</v>
      </c>
      <c r="K12" s="61">
        <f t="shared" si="1"/>
        <v>-143125.46505412192</v>
      </c>
      <c r="L12" s="61">
        <f t="shared" si="1"/>
        <v>-132095.58436159982</v>
      </c>
      <c r="M12" s="61">
        <f t="shared" si="1"/>
        <v>-120990.54969380709</v>
      </c>
      <c r="N12" s="61">
        <f t="shared" si="1"/>
        <v>-109809.23512541107</v>
      </c>
      <c r="O12" s="61">
        <f t="shared" si="1"/>
        <v>-155385.53685884073</v>
      </c>
      <c r="P12" s="61">
        <f t="shared" si="1"/>
        <v>-144029.72113111301</v>
      </c>
      <c r="Q12" s="61">
        <f t="shared" si="1"/>
        <v>-132594.24202741974</v>
      </c>
      <c r="R12" s="61">
        <f t="shared" si="1"/>
        <v>-121077.96966812818</v>
      </c>
      <c r="S12" s="61">
        <f t="shared" si="1"/>
        <v>-109479.77306920476</v>
      </c>
      <c r="T12" s="61">
        <f t="shared" si="1"/>
        <v>-97798.520096053137</v>
      </c>
      <c r="U12" s="61">
        <f t="shared" si="1"/>
        <v>-86033.07741742942</v>
      </c>
      <c r="V12" s="61">
        <f t="shared" si="1"/>
        <v>-74182.310459441505</v>
      </c>
      <c r="W12" s="61">
        <f t="shared" si="1"/>
        <v>-62245.083359619137</v>
      </c>
      <c r="X12" s="61">
        <f t="shared" si="1"/>
        <v>-50220.258921060362</v>
      </c>
      <c r="Y12" s="61">
        <f t="shared" si="1"/>
        <v>-38106.698566649458</v>
      </c>
      <c r="Z12" s="61">
        <f t="shared" si="1"/>
        <v>-25903.262293344829</v>
      </c>
      <c r="AA12" s="61">
        <f t="shared" si="1"/>
        <v>-83937.723013377603</v>
      </c>
      <c r="AB12" s="61">
        <f t="shared" si="1"/>
        <v>-72042.354204673902</v>
      </c>
      <c r="AC12" s="61">
        <f t="shared" si="1"/>
        <v>-60053.680456271046</v>
      </c>
      <c r="AD12" s="61">
        <f t="shared" si="1"/>
        <v>-47970.555605619214</v>
      </c>
      <c r="AE12" s="61">
        <f t="shared" si="1"/>
        <v>-35791.831836654339</v>
      </c>
      <c r="AF12" s="61">
        <f t="shared" si="1"/>
        <v>-23516.359634457971</v>
      </c>
      <c r="AG12" s="61">
        <f t="shared" si="1"/>
        <v>-11142.987739978358</v>
      </c>
      <c r="AH12" s="61">
        <f t="shared" si="1"/>
        <v>1329.4368952014484</v>
      </c>
      <c r="AI12" s="61">
        <f t="shared" si="1"/>
        <v>13902.069154041586</v>
      </c>
      <c r="AJ12" s="61">
        <f t="shared" si="1"/>
        <v>26576.065799170523</v>
      </c>
      <c r="AK12" s="61">
        <f t="shared" si="1"/>
        <v>39352.585517969928</v>
      </c>
      <c r="AL12" s="61">
        <f t="shared" si="1"/>
        <v>52232.78896760894</v>
      </c>
      <c r="AN12" s="62">
        <f>SUM(C12:N12)</f>
        <v>-2039452.6902747781</v>
      </c>
      <c r="AO12" s="62">
        <f>SUM(O12:Z12)</f>
        <v>-1097056.4538683044</v>
      </c>
      <c r="AP12" s="62">
        <f>SUM(AA12:AL12)</f>
        <v>-201062.54615704005</v>
      </c>
    </row>
    <row r="14" spans="1:42" x14ac:dyDescent="0.35">
      <c r="A14" s="31" t="s">
        <v>289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</row>
    <row r="15" spans="1:42" x14ac:dyDescent="0.35">
      <c r="A15" s="33" t="s">
        <v>290</v>
      </c>
      <c r="B15" s="34" t="s">
        <v>144</v>
      </c>
      <c r="C15" s="67">
        <f>-'Operating Expenses'!C36</f>
        <v>-40000</v>
      </c>
      <c r="D15" s="67">
        <f>-'Operating Expenses'!D36</f>
        <v>-40000</v>
      </c>
      <c r="E15" s="67">
        <f>-'Operating Expenses'!E36</f>
        <v>-40000</v>
      </c>
      <c r="F15" s="67">
        <f>-'Operating Expenses'!F36</f>
        <v>-40000</v>
      </c>
      <c r="G15" s="67">
        <f>-'Operating Expenses'!G36</f>
        <v>-40000</v>
      </c>
      <c r="H15" s="67">
        <f>-'Operating Expenses'!H36</f>
        <v>-40000</v>
      </c>
      <c r="I15" s="67">
        <f>-'Operating Expenses'!I36</f>
        <v>-40000</v>
      </c>
      <c r="J15" s="67">
        <f>-'Operating Expenses'!J36</f>
        <v>-40000</v>
      </c>
      <c r="K15" s="67">
        <f>-'Operating Expenses'!K36</f>
        <v>-40000</v>
      </c>
      <c r="L15" s="67">
        <f>-'Operating Expenses'!L36</f>
        <v>-40000</v>
      </c>
      <c r="M15" s="67">
        <f>-'Operating Expenses'!M36</f>
        <v>-40000</v>
      </c>
      <c r="N15" s="67">
        <f>-'Operating Expenses'!N36</f>
        <v>-40000</v>
      </c>
      <c r="O15" s="67">
        <f>-'Operating Expenses'!O36</f>
        <v>-40000</v>
      </c>
      <c r="P15" s="67">
        <f>-'Operating Expenses'!P36</f>
        <v>-40000</v>
      </c>
      <c r="Q15" s="67">
        <f>-'Operating Expenses'!Q36</f>
        <v>-40000</v>
      </c>
      <c r="R15" s="67">
        <f>-'Operating Expenses'!R36</f>
        <v>-40000</v>
      </c>
      <c r="S15" s="67">
        <f>-'Operating Expenses'!S36</f>
        <v>-40000</v>
      </c>
      <c r="T15" s="67">
        <f>-'Operating Expenses'!T36</f>
        <v>-40000</v>
      </c>
      <c r="U15" s="67">
        <f>-'Operating Expenses'!U36</f>
        <v>-40000</v>
      </c>
      <c r="V15" s="67">
        <f>-'Operating Expenses'!V36</f>
        <v>-40000</v>
      </c>
      <c r="W15" s="67">
        <f>-'Operating Expenses'!W36</f>
        <v>-40000</v>
      </c>
      <c r="X15" s="67">
        <f>-'Operating Expenses'!X36</f>
        <v>-40000</v>
      </c>
      <c r="Y15" s="67">
        <f>-'Operating Expenses'!Y36</f>
        <v>-40000</v>
      </c>
      <c r="Z15" s="67">
        <f>-'Operating Expenses'!Z36</f>
        <v>-40000</v>
      </c>
      <c r="AA15" s="67">
        <f>-'Operating Expenses'!AA36</f>
        <v>-40000</v>
      </c>
      <c r="AB15" s="67">
        <f>-'Operating Expenses'!AB36</f>
        <v>-40000</v>
      </c>
      <c r="AC15" s="67">
        <f>-'Operating Expenses'!AC36</f>
        <v>-40000</v>
      </c>
      <c r="AD15" s="67">
        <f>-'Operating Expenses'!AD36</f>
        <v>-40000</v>
      </c>
      <c r="AE15" s="67">
        <f>-'Operating Expenses'!AE36</f>
        <v>-40000</v>
      </c>
      <c r="AF15" s="67">
        <f>-'Operating Expenses'!AF36</f>
        <v>-40000</v>
      </c>
      <c r="AG15" s="67">
        <f>-'Operating Expenses'!AG36</f>
        <v>-40000</v>
      </c>
      <c r="AH15" s="67">
        <f>-'Operating Expenses'!AH36</f>
        <v>-40000</v>
      </c>
      <c r="AI15" s="67">
        <f>-'Operating Expenses'!AI36</f>
        <v>-40000</v>
      </c>
      <c r="AJ15" s="67">
        <f>-'Operating Expenses'!AJ36</f>
        <v>-40000</v>
      </c>
      <c r="AK15" s="67">
        <f>-'Operating Expenses'!AK36</f>
        <v>-40000</v>
      </c>
      <c r="AL15" s="67">
        <f>-'Operating Expenses'!AL36</f>
        <v>-40000</v>
      </c>
      <c r="AN15" s="58">
        <f>SUM(C15:N15)</f>
        <v>-480000</v>
      </c>
      <c r="AO15" s="58">
        <f>SUM(O15:Z15)</f>
        <v>-480000</v>
      </c>
      <c r="AP15" s="58">
        <f>SUM(AA15:AL15)</f>
        <v>-480000</v>
      </c>
    </row>
    <row r="16" spans="1:42" x14ac:dyDescent="0.35">
      <c r="A16" s="72" t="s">
        <v>291</v>
      </c>
    </row>
    <row r="17" spans="1:42" x14ac:dyDescent="0.35">
      <c r="A17" s="68" t="s">
        <v>292</v>
      </c>
      <c r="B17" s="60" t="s">
        <v>144</v>
      </c>
      <c r="C17" s="61">
        <f t="shared" ref="C17:AL17" si="2">C12+C15</f>
        <v>-268793.81227777782</v>
      </c>
      <c r="D17" s="61">
        <f t="shared" si="2"/>
        <v>-258324.72492324008</v>
      </c>
      <c r="E17" s="61">
        <f t="shared" si="2"/>
        <v>-247789.46352718904</v>
      </c>
      <c r="F17" s="61">
        <f t="shared" si="2"/>
        <v>-237186.90782995627</v>
      </c>
      <c r="G17" s="61">
        <f t="shared" si="2"/>
        <v>-226515.937028474</v>
      </c>
      <c r="H17" s="61">
        <f t="shared" si="2"/>
        <v>-215775.42972897954</v>
      </c>
      <c r="I17" s="61">
        <f t="shared" si="2"/>
        <v>-204964.26389982569</v>
      </c>
      <c r="J17" s="61">
        <f t="shared" si="2"/>
        <v>-194081.31682439597</v>
      </c>
      <c r="K17" s="61">
        <f t="shared" si="2"/>
        <v>-183125.46505412192</v>
      </c>
      <c r="L17" s="61">
        <f t="shared" si="2"/>
        <v>-172095.58436159982</v>
      </c>
      <c r="M17" s="61">
        <f t="shared" si="2"/>
        <v>-160990.54969380709</v>
      </c>
      <c r="N17" s="61">
        <f t="shared" si="2"/>
        <v>-149809.23512541107</v>
      </c>
      <c r="O17" s="61">
        <f t="shared" si="2"/>
        <v>-195385.53685884073</v>
      </c>
      <c r="P17" s="61">
        <f t="shared" si="2"/>
        <v>-184029.72113111301</v>
      </c>
      <c r="Q17" s="61">
        <f t="shared" si="2"/>
        <v>-172594.24202741974</v>
      </c>
      <c r="R17" s="61">
        <f t="shared" si="2"/>
        <v>-161077.96966812818</v>
      </c>
      <c r="S17" s="61">
        <f t="shared" si="2"/>
        <v>-149479.77306920476</v>
      </c>
      <c r="T17" s="61">
        <f t="shared" si="2"/>
        <v>-137798.52009605314</v>
      </c>
      <c r="U17" s="61">
        <f t="shared" si="2"/>
        <v>-126033.07741742942</v>
      </c>
      <c r="V17" s="61">
        <f t="shared" si="2"/>
        <v>-114182.31045944151</v>
      </c>
      <c r="W17" s="61">
        <f t="shared" si="2"/>
        <v>-102245.08335961914</v>
      </c>
      <c r="X17" s="61">
        <f t="shared" si="2"/>
        <v>-90220.258921060362</v>
      </c>
      <c r="Y17" s="61">
        <f t="shared" si="2"/>
        <v>-78106.698566649458</v>
      </c>
      <c r="Z17" s="61">
        <f t="shared" si="2"/>
        <v>-65903.262293344829</v>
      </c>
      <c r="AA17" s="61">
        <f t="shared" si="2"/>
        <v>-123937.7230133776</v>
      </c>
      <c r="AB17" s="61">
        <f t="shared" si="2"/>
        <v>-112042.3542046739</v>
      </c>
      <c r="AC17" s="61">
        <f t="shared" si="2"/>
        <v>-100053.68045627105</v>
      </c>
      <c r="AD17" s="61">
        <f t="shared" si="2"/>
        <v>-87970.555605619214</v>
      </c>
      <c r="AE17" s="61">
        <f t="shared" si="2"/>
        <v>-75791.831836654339</v>
      </c>
      <c r="AF17" s="61">
        <f t="shared" si="2"/>
        <v>-63516.359634457971</v>
      </c>
      <c r="AG17" s="61">
        <f t="shared" si="2"/>
        <v>-51142.987739978358</v>
      </c>
      <c r="AH17" s="61">
        <f t="shared" si="2"/>
        <v>-38670.563104798552</v>
      </c>
      <c r="AI17" s="61">
        <f t="shared" si="2"/>
        <v>-26097.930845958414</v>
      </c>
      <c r="AJ17" s="61">
        <f t="shared" si="2"/>
        <v>-13423.934200829477</v>
      </c>
      <c r="AK17" s="61">
        <f t="shared" si="2"/>
        <v>-647.41448203007167</v>
      </c>
      <c r="AL17" s="61">
        <f t="shared" si="2"/>
        <v>12232.78896760894</v>
      </c>
      <c r="AN17" s="62">
        <f>SUM(C17:N17)</f>
        <v>-2519452.6902747778</v>
      </c>
      <c r="AO17" s="62">
        <f>SUM(O17:Z17)</f>
        <v>-1577056.4538683044</v>
      </c>
      <c r="AP17" s="62">
        <f>SUM(AA17:AL17)</f>
        <v>-681062.54615704005</v>
      </c>
    </row>
    <row r="19" spans="1:42" x14ac:dyDescent="0.35">
      <c r="A19" s="31" t="s">
        <v>293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</row>
    <row r="20" spans="1:42" x14ac:dyDescent="0.35">
      <c r="A20" s="33" t="s">
        <v>294</v>
      </c>
      <c r="B20" s="34" t="s">
        <v>144</v>
      </c>
      <c r="C20" s="58">
        <f>A_Cash0</f>
        <v>18000000</v>
      </c>
      <c r="D20" s="58">
        <f t="shared" ref="D20:AL20" si="3">C21</f>
        <v>17731206.187722221</v>
      </c>
      <c r="E20" s="58">
        <f t="shared" si="3"/>
        <v>17472881.462798979</v>
      </c>
      <c r="F20" s="58">
        <f t="shared" si="3"/>
        <v>17225091.999271791</v>
      </c>
      <c r="G20" s="58">
        <f t="shared" si="3"/>
        <v>16987905.091441836</v>
      </c>
      <c r="H20" s="58">
        <f t="shared" si="3"/>
        <v>16761389.154413363</v>
      </c>
      <c r="I20" s="58">
        <f t="shared" si="3"/>
        <v>16545613.724684384</v>
      </c>
      <c r="J20" s="58">
        <f t="shared" si="3"/>
        <v>16340649.460784558</v>
      </c>
      <c r="K20" s="58">
        <f t="shared" si="3"/>
        <v>16146568.143960163</v>
      </c>
      <c r="L20" s="58">
        <f t="shared" si="3"/>
        <v>15963442.67890604</v>
      </c>
      <c r="M20" s="58">
        <f t="shared" si="3"/>
        <v>15791347.094544441</v>
      </c>
      <c r="N20" s="58">
        <f t="shared" si="3"/>
        <v>15630356.544850633</v>
      </c>
      <c r="O20" s="58">
        <f t="shared" si="3"/>
        <v>15480547.309725221</v>
      </c>
      <c r="P20" s="58">
        <f t="shared" si="3"/>
        <v>15285161.772866381</v>
      </c>
      <c r="Q20" s="58">
        <f t="shared" si="3"/>
        <v>15101132.051735269</v>
      </c>
      <c r="R20" s="58">
        <f t="shared" si="3"/>
        <v>14928537.809707848</v>
      </c>
      <c r="S20" s="58">
        <f t="shared" si="3"/>
        <v>14767459.840039721</v>
      </c>
      <c r="T20" s="58">
        <f t="shared" si="3"/>
        <v>14617980.066970516</v>
      </c>
      <c r="U20" s="58">
        <f t="shared" si="3"/>
        <v>14480181.546874464</v>
      </c>
      <c r="V20" s="58">
        <f t="shared" si="3"/>
        <v>14354148.469457034</v>
      </c>
      <c r="W20" s="58">
        <f t="shared" si="3"/>
        <v>14239966.158997592</v>
      </c>
      <c r="X20" s="58">
        <f t="shared" si="3"/>
        <v>14137721.075637972</v>
      </c>
      <c r="Y20" s="58">
        <f t="shared" si="3"/>
        <v>14047500.816716911</v>
      </c>
      <c r="Z20" s="58">
        <f t="shared" si="3"/>
        <v>13969394.118150262</v>
      </c>
      <c r="AA20" s="58">
        <f t="shared" si="3"/>
        <v>13903490.855856918</v>
      </c>
      <c r="AB20" s="58">
        <f t="shared" si="3"/>
        <v>13779553.132843541</v>
      </c>
      <c r="AC20" s="58">
        <f t="shared" si="3"/>
        <v>13667510.778638868</v>
      </c>
      <c r="AD20" s="58">
        <f t="shared" si="3"/>
        <v>13567457.098182596</v>
      </c>
      <c r="AE20" s="58">
        <f t="shared" si="3"/>
        <v>13479486.542576976</v>
      </c>
      <c r="AF20" s="58">
        <f t="shared" si="3"/>
        <v>13403694.710740322</v>
      </c>
      <c r="AG20" s="58">
        <f t="shared" si="3"/>
        <v>13340178.351105865</v>
      </c>
      <c r="AH20" s="58">
        <f t="shared" si="3"/>
        <v>13289035.363365887</v>
      </c>
      <c r="AI20" s="58">
        <f t="shared" si="3"/>
        <v>13250364.800261088</v>
      </c>
      <c r="AJ20" s="58">
        <f t="shared" si="3"/>
        <v>13224266.869415129</v>
      </c>
      <c r="AK20" s="58">
        <f t="shared" si="3"/>
        <v>13210842.9352143</v>
      </c>
      <c r="AL20" s="58">
        <f t="shared" si="3"/>
        <v>13210195.520732271</v>
      </c>
    </row>
    <row r="21" spans="1:42" x14ac:dyDescent="0.35">
      <c r="A21" s="68" t="s">
        <v>295</v>
      </c>
      <c r="B21" s="60" t="s">
        <v>144</v>
      </c>
      <c r="C21" s="61">
        <f t="shared" ref="C21:AL21" si="4">C20+C17</f>
        <v>17731206.187722221</v>
      </c>
      <c r="D21" s="61">
        <f t="shared" si="4"/>
        <v>17472881.462798979</v>
      </c>
      <c r="E21" s="61">
        <f t="shared" si="4"/>
        <v>17225091.999271791</v>
      </c>
      <c r="F21" s="61">
        <f t="shared" si="4"/>
        <v>16987905.091441836</v>
      </c>
      <c r="G21" s="61">
        <f t="shared" si="4"/>
        <v>16761389.154413363</v>
      </c>
      <c r="H21" s="61">
        <f t="shared" si="4"/>
        <v>16545613.724684384</v>
      </c>
      <c r="I21" s="61">
        <f t="shared" si="4"/>
        <v>16340649.460784558</v>
      </c>
      <c r="J21" s="61">
        <f t="shared" si="4"/>
        <v>16146568.143960163</v>
      </c>
      <c r="K21" s="61">
        <f t="shared" si="4"/>
        <v>15963442.67890604</v>
      </c>
      <c r="L21" s="61">
        <f t="shared" si="4"/>
        <v>15791347.094544441</v>
      </c>
      <c r="M21" s="61">
        <f t="shared" si="4"/>
        <v>15630356.544850633</v>
      </c>
      <c r="N21" s="61">
        <f t="shared" si="4"/>
        <v>15480547.309725221</v>
      </c>
      <c r="O21" s="61">
        <f t="shared" si="4"/>
        <v>15285161.772866381</v>
      </c>
      <c r="P21" s="61">
        <f t="shared" si="4"/>
        <v>15101132.051735269</v>
      </c>
      <c r="Q21" s="61">
        <f t="shared" si="4"/>
        <v>14928537.809707848</v>
      </c>
      <c r="R21" s="61">
        <f t="shared" si="4"/>
        <v>14767459.840039721</v>
      </c>
      <c r="S21" s="61">
        <f t="shared" si="4"/>
        <v>14617980.066970516</v>
      </c>
      <c r="T21" s="61">
        <f t="shared" si="4"/>
        <v>14480181.546874464</v>
      </c>
      <c r="U21" s="61">
        <f t="shared" si="4"/>
        <v>14354148.469457034</v>
      </c>
      <c r="V21" s="61">
        <f t="shared" si="4"/>
        <v>14239966.158997592</v>
      </c>
      <c r="W21" s="61">
        <f t="shared" si="4"/>
        <v>14137721.075637972</v>
      </c>
      <c r="X21" s="61">
        <f t="shared" si="4"/>
        <v>14047500.816716911</v>
      </c>
      <c r="Y21" s="61">
        <f t="shared" si="4"/>
        <v>13969394.118150262</v>
      </c>
      <c r="Z21" s="61">
        <f t="shared" si="4"/>
        <v>13903490.855856918</v>
      </c>
      <c r="AA21" s="61">
        <f t="shared" si="4"/>
        <v>13779553.132843541</v>
      </c>
      <c r="AB21" s="61">
        <f t="shared" si="4"/>
        <v>13667510.778638868</v>
      </c>
      <c r="AC21" s="61">
        <f t="shared" si="4"/>
        <v>13567457.098182596</v>
      </c>
      <c r="AD21" s="61">
        <f t="shared" si="4"/>
        <v>13479486.542576976</v>
      </c>
      <c r="AE21" s="61">
        <f t="shared" si="4"/>
        <v>13403694.710740322</v>
      </c>
      <c r="AF21" s="61">
        <f t="shared" si="4"/>
        <v>13340178.351105865</v>
      </c>
      <c r="AG21" s="61">
        <f t="shared" si="4"/>
        <v>13289035.363365887</v>
      </c>
      <c r="AH21" s="61">
        <f t="shared" si="4"/>
        <v>13250364.800261088</v>
      </c>
      <c r="AI21" s="61">
        <f t="shared" si="4"/>
        <v>13224266.869415129</v>
      </c>
      <c r="AJ21" s="61">
        <f t="shared" si="4"/>
        <v>13210842.9352143</v>
      </c>
      <c r="AK21" s="61">
        <f t="shared" si="4"/>
        <v>13210195.520732271</v>
      </c>
      <c r="AL21" s="61">
        <f t="shared" si="4"/>
        <v>13222428.30969988</v>
      </c>
      <c r="AN21" s="62">
        <f>N21</f>
        <v>15480547.309725221</v>
      </c>
      <c r="AO21" s="62">
        <f>Z21</f>
        <v>13903490.855856918</v>
      </c>
      <c r="AP21" s="62">
        <f>AL21</f>
        <v>13222428.30969988</v>
      </c>
    </row>
    <row r="23" spans="1:42" x14ac:dyDescent="0.35">
      <c r="A23" s="31" t="s">
        <v>296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</row>
    <row r="24" spans="1:42" x14ac:dyDescent="0.35">
      <c r="A24" s="33" t="s">
        <v>297</v>
      </c>
      <c r="B24" s="34" t="s">
        <v>144</v>
      </c>
      <c r="C24" s="58">
        <f t="shared" ref="C24:AL24" si="5">MAX(0,-C17)</f>
        <v>268793.81227777782</v>
      </c>
      <c r="D24" s="58">
        <f t="shared" si="5"/>
        <v>258324.72492324008</v>
      </c>
      <c r="E24" s="58">
        <f t="shared" si="5"/>
        <v>247789.46352718904</v>
      </c>
      <c r="F24" s="58">
        <f t="shared" si="5"/>
        <v>237186.90782995627</v>
      </c>
      <c r="G24" s="58">
        <f t="shared" si="5"/>
        <v>226515.937028474</v>
      </c>
      <c r="H24" s="58">
        <f t="shared" si="5"/>
        <v>215775.42972897954</v>
      </c>
      <c r="I24" s="58">
        <f t="shared" si="5"/>
        <v>204964.26389982569</v>
      </c>
      <c r="J24" s="58">
        <f t="shared" si="5"/>
        <v>194081.31682439597</v>
      </c>
      <c r="K24" s="58">
        <f t="shared" si="5"/>
        <v>183125.46505412192</v>
      </c>
      <c r="L24" s="58">
        <f t="shared" si="5"/>
        <v>172095.58436159982</v>
      </c>
      <c r="M24" s="58">
        <f t="shared" si="5"/>
        <v>160990.54969380709</v>
      </c>
      <c r="N24" s="58">
        <f t="shared" si="5"/>
        <v>149809.23512541107</v>
      </c>
      <c r="O24" s="58">
        <f t="shared" si="5"/>
        <v>195385.53685884073</v>
      </c>
      <c r="P24" s="58">
        <f t="shared" si="5"/>
        <v>184029.72113111301</v>
      </c>
      <c r="Q24" s="58">
        <f t="shared" si="5"/>
        <v>172594.24202741974</v>
      </c>
      <c r="R24" s="58">
        <f t="shared" si="5"/>
        <v>161077.96966812818</v>
      </c>
      <c r="S24" s="58">
        <f t="shared" si="5"/>
        <v>149479.77306920476</v>
      </c>
      <c r="T24" s="58">
        <f t="shared" si="5"/>
        <v>137798.52009605314</v>
      </c>
      <c r="U24" s="58">
        <f t="shared" si="5"/>
        <v>126033.07741742942</v>
      </c>
      <c r="V24" s="58">
        <f t="shared" si="5"/>
        <v>114182.31045944151</v>
      </c>
      <c r="W24" s="58">
        <f t="shared" si="5"/>
        <v>102245.08335961914</v>
      </c>
      <c r="X24" s="58">
        <f t="shared" si="5"/>
        <v>90220.258921060362</v>
      </c>
      <c r="Y24" s="58">
        <f t="shared" si="5"/>
        <v>78106.698566649458</v>
      </c>
      <c r="Z24" s="58">
        <f t="shared" si="5"/>
        <v>65903.262293344829</v>
      </c>
      <c r="AA24" s="58">
        <f t="shared" si="5"/>
        <v>123937.7230133776</v>
      </c>
      <c r="AB24" s="58">
        <f t="shared" si="5"/>
        <v>112042.3542046739</v>
      </c>
      <c r="AC24" s="58">
        <f t="shared" si="5"/>
        <v>100053.68045627105</v>
      </c>
      <c r="AD24" s="58">
        <f t="shared" si="5"/>
        <v>87970.555605619214</v>
      </c>
      <c r="AE24" s="58">
        <f t="shared" si="5"/>
        <v>75791.831836654339</v>
      </c>
      <c r="AF24" s="58">
        <f t="shared" si="5"/>
        <v>63516.359634457971</v>
      </c>
      <c r="AG24" s="58">
        <f t="shared" si="5"/>
        <v>51142.987739978358</v>
      </c>
      <c r="AH24" s="58">
        <f t="shared" si="5"/>
        <v>38670.563104798552</v>
      </c>
      <c r="AI24" s="58">
        <f t="shared" si="5"/>
        <v>26097.930845958414</v>
      </c>
      <c r="AJ24" s="58">
        <f t="shared" si="5"/>
        <v>13423.934200829477</v>
      </c>
      <c r="AK24" s="58">
        <f t="shared" si="5"/>
        <v>647.41448203007167</v>
      </c>
      <c r="AL24" s="58">
        <f t="shared" si="5"/>
        <v>0</v>
      </c>
      <c r="AN24" s="58">
        <f>N24</f>
        <v>149809.23512541107</v>
      </c>
      <c r="AO24" s="58">
        <f>Z24</f>
        <v>65903.262293344829</v>
      </c>
      <c r="AP24" s="58">
        <f>AL24</f>
        <v>0</v>
      </c>
    </row>
    <row r="25" spans="1:42" x14ac:dyDescent="0.35">
      <c r="A25" s="33" t="s">
        <v>298</v>
      </c>
      <c r="B25" s="34" t="s">
        <v>144</v>
      </c>
      <c r="C25" s="58">
        <f>C24</f>
        <v>268793.81227777782</v>
      </c>
      <c r="D25" s="58">
        <f>AVERAGE(C24:D24)</f>
        <v>263559.26860050892</v>
      </c>
      <c r="E25" s="58">
        <f t="shared" ref="E25:AL25" si="6">AVERAGE(C24:E24)</f>
        <v>258302.66690940232</v>
      </c>
      <c r="F25" s="58">
        <f t="shared" si="6"/>
        <v>247767.03209346181</v>
      </c>
      <c r="G25" s="58">
        <f t="shared" si="6"/>
        <v>237164.10279520645</v>
      </c>
      <c r="H25" s="58">
        <f t="shared" si="6"/>
        <v>226492.75819580327</v>
      </c>
      <c r="I25" s="58">
        <f t="shared" si="6"/>
        <v>215751.87688575973</v>
      </c>
      <c r="J25" s="58">
        <f t="shared" si="6"/>
        <v>204940.33681773371</v>
      </c>
      <c r="K25" s="58">
        <f t="shared" si="6"/>
        <v>194057.01525944786</v>
      </c>
      <c r="L25" s="58">
        <f t="shared" si="6"/>
        <v>183100.78874670589</v>
      </c>
      <c r="M25" s="58">
        <f t="shared" si="6"/>
        <v>172070.53303650962</v>
      </c>
      <c r="N25" s="58">
        <f t="shared" si="6"/>
        <v>160965.12306027266</v>
      </c>
      <c r="O25" s="58">
        <f t="shared" si="6"/>
        <v>168728.44055935295</v>
      </c>
      <c r="P25" s="58">
        <f t="shared" si="6"/>
        <v>176408.16437178827</v>
      </c>
      <c r="Q25" s="58">
        <f t="shared" si="6"/>
        <v>184003.16667245782</v>
      </c>
      <c r="R25" s="58">
        <f t="shared" si="6"/>
        <v>172567.3109422203</v>
      </c>
      <c r="S25" s="58">
        <f t="shared" si="6"/>
        <v>161050.66158825089</v>
      </c>
      <c r="T25" s="58">
        <f t="shared" si="6"/>
        <v>149452.08761112869</v>
      </c>
      <c r="U25" s="58">
        <f t="shared" si="6"/>
        <v>137770.45686089576</v>
      </c>
      <c r="V25" s="58">
        <f t="shared" si="6"/>
        <v>126004.63599097468</v>
      </c>
      <c r="W25" s="58">
        <f t="shared" si="6"/>
        <v>114153.49041216336</v>
      </c>
      <c r="X25" s="58">
        <f t="shared" si="6"/>
        <v>102215.88424670701</v>
      </c>
      <c r="Y25" s="58">
        <f t="shared" si="6"/>
        <v>90190.680282442991</v>
      </c>
      <c r="Z25" s="58">
        <f t="shared" si="6"/>
        <v>78076.739927018221</v>
      </c>
      <c r="AA25" s="58">
        <f t="shared" si="6"/>
        <v>89315.894624457302</v>
      </c>
      <c r="AB25" s="58">
        <f t="shared" si="6"/>
        <v>100627.77983713213</v>
      </c>
      <c r="AC25" s="58">
        <f t="shared" si="6"/>
        <v>112011.25255810753</v>
      </c>
      <c r="AD25" s="58">
        <f t="shared" si="6"/>
        <v>100022.19675552139</v>
      </c>
      <c r="AE25" s="58">
        <f t="shared" si="6"/>
        <v>87938.689299514866</v>
      </c>
      <c r="AF25" s="58">
        <f t="shared" si="6"/>
        <v>75759.582358910513</v>
      </c>
      <c r="AG25" s="58">
        <f t="shared" si="6"/>
        <v>63483.726403696892</v>
      </c>
      <c r="AH25" s="58">
        <f t="shared" si="6"/>
        <v>51109.97015974496</v>
      </c>
      <c r="AI25" s="58">
        <f t="shared" si="6"/>
        <v>38637.160563578444</v>
      </c>
      <c r="AJ25" s="58">
        <f t="shared" si="6"/>
        <v>26064.142717195482</v>
      </c>
      <c r="AK25" s="58">
        <f t="shared" si="6"/>
        <v>13389.75984293932</v>
      </c>
      <c r="AL25" s="58">
        <f t="shared" si="6"/>
        <v>4690.4495609531832</v>
      </c>
      <c r="AN25" s="58">
        <f>N25</f>
        <v>160965.12306027266</v>
      </c>
      <c r="AO25" s="58">
        <f>Z25</f>
        <v>78076.739927018221</v>
      </c>
      <c r="AP25" s="58">
        <f>AL25</f>
        <v>4690.4495609531832</v>
      </c>
    </row>
    <row r="26" spans="1:42" x14ac:dyDescent="0.35">
      <c r="A26" s="33" t="s">
        <v>299</v>
      </c>
      <c r="B26" s="34" t="s">
        <v>300</v>
      </c>
      <c r="C26" s="73" t="str">
        <f t="shared" ref="C26:AL26" si="7">IF(C25&lt;=0,"n/a",IF(C21/C25&gt;60,"&gt;60",C21/C25))</f>
        <v>&gt;60</v>
      </c>
      <c r="D26" s="73" t="str">
        <f t="shared" si="7"/>
        <v>&gt;60</v>
      </c>
      <c r="E26" s="73" t="str">
        <f t="shared" si="7"/>
        <v>&gt;60</v>
      </c>
      <c r="F26" s="73" t="str">
        <f t="shared" si="7"/>
        <v>&gt;60</v>
      </c>
      <c r="G26" s="73" t="str">
        <f t="shared" si="7"/>
        <v>&gt;60</v>
      </c>
      <c r="H26" s="73" t="str">
        <f t="shared" si="7"/>
        <v>&gt;60</v>
      </c>
      <c r="I26" s="73" t="str">
        <f t="shared" si="7"/>
        <v>&gt;60</v>
      </c>
      <c r="J26" s="73" t="str">
        <f t="shared" si="7"/>
        <v>&gt;60</v>
      </c>
      <c r="K26" s="73" t="str">
        <f t="shared" si="7"/>
        <v>&gt;60</v>
      </c>
      <c r="L26" s="73" t="str">
        <f t="shared" si="7"/>
        <v>&gt;60</v>
      </c>
      <c r="M26" s="73" t="str">
        <f t="shared" si="7"/>
        <v>&gt;60</v>
      </c>
      <c r="N26" s="73" t="str">
        <f t="shared" si="7"/>
        <v>&gt;60</v>
      </c>
      <c r="O26" s="73" t="str">
        <f t="shared" si="7"/>
        <v>&gt;60</v>
      </c>
      <c r="P26" s="73" t="str">
        <f t="shared" si="7"/>
        <v>&gt;60</v>
      </c>
      <c r="Q26" s="73" t="str">
        <f t="shared" si="7"/>
        <v>&gt;60</v>
      </c>
      <c r="R26" s="73" t="str">
        <f t="shared" si="7"/>
        <v>&gt;60</v>
      </c>
      <c r="S26" s="73" t="str">
        <f t="shared" si="7"/>
        <v>&gt;60</v>
      </c>
      <c r="T26" s="73" t="str">
        <f t="shared" si="7"/>
        <v>&gt;60</v>
      </c>
      <c r="U26" s="73" t="str">
        <f t="shared" si="7"/>
        <v>&gt;60</v>
      </c>
      <c r="V26" s="73" t="str">
        <f t="shared" si="7"/>
        <v>&gt;60</v>
      </c>
      <c r="W26" s="73" t="str">
        <f t="shared" si="7"/>
        <v>&gt;60</v>
      </c>
      <c r="X26" s="73" t="str">
        <f t="shared" si="7"/>
        <v>&gt;60</v>
      </c>
      <c r="Y26" s="73" t="str">
        <f t="shared" si="7"/>
        <v>&gt;60</v>
      </c>
      <c r="Z26" s="73" t="str">
        <f t="shared" si="7"/>
        <v>&gt;60</v>
      </c>
      <c r="AA26" s="73" t="str">
        <f t="shared" si="7"/>
        <v>&gt;60</v>
      </c>
      <c r="AB26" s="73" t="str">
        <f t="shared" si="7"/>
        <v>&gt;60</v>
      </c>
      <c r="AC26" s="73" t="str">
        <f t="shared" si="7"/>
        <v>&gt;60</v>
      </c>
      <c r="AD26" s="73" t="str">
        <f t="shared" si="7"/>
        <v>&gt;60</v>
      </c>
      <c r="AE26" s="73" t="str">
        <f t="shared" si="7"/>
        <v>&gt;60</v>
      </c>
      <c r="AF26" s="73" t="str">
        <f t="shared" si="7"/>
        <v>&gt;60</v>
      </c>
      <c r="AG26" s="73" t="str">
        <f t="shared" si="7"/>
        <v>&gt;60</v>
      </c>
      <c r="AH26" s="73" t="str">
        <f t="shared" si="7"/>
        <v>&gt;60</v>
      </c>
      <c r="AI26" s="73" t="str">
        <f t="shared" si="7"/>
        <v>&gt;60</v>
      </c>
      <c r="AJ26" s="73" t="str">
        <f t="shared" si="7"/>
        <v>&gt;60</v>
      </c>
      <c r="AK26" s="73" t="str">
        <f t="shared" si="7"/>
        <v>&gt;60</v>
      </c>
      <c r="AL26" s="73" t="str">
        <f t="shared" si="7"/>
        <v>&gt;60</v>
      </c>
      <c r="AN26" s="73" t="str">
        <f>N26</f>
        <v>&gt;60</v>
      </c>
      <c r="AO26" s="73" t="str">
        <f>Z26</f>
        <v>&gt;60</v>
      </c>
      <c r="AP26" s="73" t="str">
        <f>AL26</f>
        <v>&gt;60</v>
      </c>
    </row>
    <row r="28" spans="1:42" ht="24" customHeight="1" x14ac:dyDescent="0.35">
      <c r="A28" s="64" t="s">
        <v>301</v>
      </c>
    </row>
  </sheetData>
  <hyperlinks>
    <hyperlink ref="E1" r:id="rId1" location="Cover!A1" xr:uid="{00000000-0004-0000-0800-000000000000}"/>
  </hyperlinks>
  <pageMargins left="0.75" right="0.75" top="1" bottom="1" header="0.5" footer="0.5"/>
  <pageSetup fitToHeight="0" orientation="landscape" horizontalDpi="300" verticalDpi="300"/>
  <headerFooter>
    <oddHeader>&amp;LNovaFlow Analytics&amp;RCash Flow</oddHeader>
    <oddFooter>&amp;LFP&amp;&amp;A Planning Model v1.0&amp;CConfidential&amp;RPage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49A6C"/>
    <pageSetUpPr fitToPage="1"/>
  </sheetPr>
  <dimension ref="A1:AP95"/>
  <sheetViews>
    <sheetView showGridLines="0" topLeftCell="S7" zoomScaleNormal="100" workbookViewId="0">
      <selection activeCell="AA16" sqref="AA16:AC16"/>
    </sheetView>
  </sheetViews>
  <sheetFormatPr defaultColWidth="8.6328125" defaultRowHeight="14.5" x14ac:dyDescent="0.35"/>
  <cols>
    <col min="1" max="1" width="38.26953125" bestFit="1" customWidth="1"/>
    <col min="2" max="2" width="9" customWidth="1"/>
    <col min="3" max="38" width="11.453125" customWidth="1"/>
    <col min="39" max="39" width="2" customWidth="1"/>
    <col min="40" max="42" width="13.453125" customWidth="1"/>
  </cols>
  <sheetData>
    <row r="1" spans="1:42" ht="13.5" customHeight="1" x14ac:dyDescent="0.35">
      <c r="A1" s="13" t="s">
        <v>0</v>
      </c>
      <c r="B1" s="14"/>
      <c r="C1" s="14"/>
      <c r="D1" s="14"/>
      <c r="E1" s="15" t="s">
        <v>34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 spans="1:42" ht="21.75" customHeight="1" x14ac:dyDescent="0.45">
      <c r="A2" s="16" t="s">
        <v>302</v>
      </c>
      <c r="B2" s="14"/>
      <c r="C2" s="14"/>
      <c r="D2" s="14"/>
      <c r="E2" s="17" t="s">
        <v>303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ht="3.75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ht="19.5" customHeight="1" x14ac:dyDescent="0.35">
      <c r="A4" s="1"/>
      <c r="B4" s="1"/>
      <c r="C4" s="74" t="s">
        <v>304</v>
      </c>
      <c r="D4" s="1"/>
      <c r="E4" s="96" t="str">
        <f>ScenarioSel</f>
        <v>Base</v>
      </c>
      <c r="F4" s="96"/>
      <c r="G4" s="1"/>
      <c r="H4" s="75" t="s">
        <v>305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x14ac:dyDescent="0.35">
      <c r="A6" s="1"/>
      <c r="B6" s="1"/>
      <c r="C6" s="86" t="s">
        <v>306</v>
      </c>
      <c r="D6" s="86"/>
      <c r="E6" s="86"/>
      <c r="F6" s="1"/>
      <c r="G6" s="86" t="s">
        <v>307</v>
      </c>
      <c r="H6" s="86"/>
      <c r="I6" s="86"/>
      <c r="J6" s="1"/>
      <c r="K6" s="86" t="s">
        <v>308</v>
      </c>
      <c r="L6" s="86"/>
      <c r="M6" s="86"/>
      <c r="N6" s="1"/>
      <c r="O6" s="86" t="s">
        <v>309</v>
      </c>
      <c r="P6" s="86"/>
      <c r="Q6" s="86"/>
      <c r="R6" s="1"/>
      <c r="S6" s="86" t="s">
        <v>310</v>
      </c>
      <c r="T6" s="86"/>
      <c r="U6" s="86"/>
      <c r="V6" s="1"/>
      <c r="W6" s="86" t="s">
        <v>311</v>
      </c>
      <c r="X6" s="86"/>
      <c r="Y6" s="86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25.5" customHeight="1" x14ac:dyDescent="0.55000000000000004">
      <c r="A7" s="1"/>
      <c r="B7" s="1"/>
      <c r="C7" s="93">
        <f>'Revenue Model'!AL35</f>
        <v>15461650.117644239</v>
      </c>
      <c r="D7" s="93"/>
      <c r="E7" s="93"/>
      <c r="F7" s="1"/>
      <c r="G7" s="94">
        <f>'Revenue Model'!AL34</f>
        <v>1288470.84313702</v>
      </c>
      <c r="H7" s="94"/>
      <c r="I7" s="94"/>
      <c r="J7" s="1"/>
      <c r="K7" s="87">
        <f>IFERROR('Income Statement'!AP7/'Income Statement'!AO7-1,0)</f>
        <v>0.40163013800578828</v>
      </c>
      <c r="L7" s="87"/>
      <c r="M7" s="87"/>
      <c r="N7" s="1"/>
      <c r="O7" s="87">
        <f>'Income Statement'!AP10</f>
        <v>0.84204967179036538</v>
      </c>
      <c r="P7" s="87"/>
      <c r="Q7" s="87"/>
      <c r="R7" s="1"/>
      <c r="S7" s="87">
        <f>'Income Statement'!AP18</f>
        <v>-0.15883961365854235</v>
      </c>
      <c r="T7" s="87"/>
      <c r="U7" s="87"/>
      <c r="V7" s="1"/>
      <c r="W7" s="92">
        <f>'Income Statement'!AP26</f>
        <v>-2570226.0596820544</v>
      </c>
      <c r="X7" s="92"/>
      <c r="Y7" s="92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x14ac:dyDescent="0.35">
      <c r="A8" s="1"/>
      <c r="B8" s="1"/>
      <c r="C8" s="85" t="str">
        <f>IF(AL57&gt;=Z57,"▲ ","▼ ")&amp;TEXT(AL57/Z57-1,"+0.0%;-0.0%")&amp;" vs Dec-27"</f>
        <v>▲ +34.7% vs Dec-27</v>
      </c>
      <c r="D8" s="85"/>
      <c r="E8" s="85"/>
      <c r="F8" s="1"/>
      <c r="G8" s="85" t="s">
        <v>312</v>
      </c>
      <c r="H8" s="85"/>
      <c r="I8" s="85"/>
      <c r="J8" s="1"/>
      <c r="K8" s="85" t="s">
        <v>313</v>
      </c>
      <c r="L8" s="85"/>
      <c r="M8" s="85"/>
      <c r="N8" s="1"/>
      <c r="O8" s="85" t="s">
        <v>265</v>
      </c>
      <c r="P8" s="85"/>
      <c r="Q8" s="85"/>
      <c r="R8" s="1"/>
      <c r="S8" s="85" t="s">
        <v>265</v>
      </c>
      <c r="T8" s="85"/>
      <c r="U8" s="85"/>
      <c r="V8" s="1"/>
      <c r="W8" s="85" t="s">
        <v>265</v>
      </c>
      <c r="X8" s="85"/>
      <c r="Y8" s="85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6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x14ac:dyDescent="0.35">
      <c r="A10" s="1"/>
      <c r="B10" s="1"/>
      <c r="C10" s="86" t="s">
        <v>314</v>
      </c>
      <c r="D10" s="86"/>
      <c r="E10" s="86"/>
      <c r="F10" s="1"/>
      <c r="G10" s="86" t="s">
        <v>315</v>
      </c>
      <c r="H10" s="86"/>
      <c r="I10" s="86"/>
      <c r="J10" s="1"/>
      <c r="K10" s="86" t="s">
        <v>316</v>
      </c>
      <c r="L10" s="86"/>
      <c r="M10" s="86"/>
      <c r="N10" s="1"/>
      <c r="O10" s="86" t="s">
        <v>317</v>
      </c>
      <c r="P10" s="86"/>
      <c r="Q10" s="86"/>
      <c r="R10" s="1"/>
      <c r="S10" s="86" t="s">
        <v>318</v>
      </c>
      <c r="T10" s="86"/>
      <c r="U10" s="86"/>
      <c r="V10" s="1"/>
      <c r="W10" s="86" t="s">
        <v>319</v>
      </c>
      <c r="X10" s="86"/>
      <c r="Y10" s="86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25.5" customHeight="1" x14ac:dyDescent="0.55000000000000004">
      <c r="A11" s="1"/>
      <c r="B11" s="1"/>
      <c r="C11" s="92">
        <f>'Cash Flow'!AP17</f>
        <v>-681062.54615704005</v>
      </c>
      <c r="D11" s="92"/>
      <c r="E11" s="92"/>
      <c r="F11" s="1"/>
      <c r="G11" s="93">
        <f>'Cash Flow'!AL21</f>
        <v>13222428.30969988</v>
      </c>
      <c r="H11" s="93"/>
      <c r="I11" s="93"/>
      <c r="J11" s="1"/>
      <c r="K11" s="94">
        <f>'Cash Flow'!AL25</f>
        <v>4690.4495609531832</v>
      </c>
      <c r="L11" s="94"/>
      <c r="M11" s="94"/>
      <c r="N11" s="1"/>
      <c r="O11" s="90" t="str">
        <f>'Cash Flow'!AL26</f>
        <v>&gt;60</v>
      </c>
      <c r="P11" s="90"/>
      <c r="Q11" s="90"/>
      <c r="R11" s="1"/>
      <c r="S11" s="95">
        <f>Headcount!AL22</f>
        <v>75.999999999999972</v>
      </c>
      <c r="T11" s="95"/>
      <c r="U11" s="95"/>
      <c r="V11" s="1"/>
      <c r="W11" s="87">
        <f>AL75</f>
        <v>0.25830103309408936</v>
      </c>
      <c r="X11" s="87"/>
      <c r="Y11" s="87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35">
      <c r="A12" s="1"/>
      <c r="B12" s="1"/>
      <c r="C12" s="85" t="s">
        <v>265</v>
      </c>
      <c r="D12" s="85"/>
      <c r="E12" s="85"/>
      <c r="F12" s="1"/>
      <c r="G12" s="85" t="str">
        <f>IF(AL76&gt;=Z76,"▲ ","▼ ")&amp;TEXT(AL76/Z76-1,"+0.0%;-0.0%")&amp;" vs Dec-27"</f>
        <v>▼ -4.9% vs Dec-27</v>
      </c>
      <c r="H12" s="85"/>
      <c r="I12" s="85"/>
      <c r="J12" s="1"/>
      <c r="K12" s="85" t="s">
        <v>320</v>
      </c>
      <c r="L12" s="85"/>
      <c r="M12" s="85"/>
      <c r="N12" s="1"/>
      <c r="O12" s="85" t="s">
        <v>321</v>
      </c>
      <c r="P12" s="85"/>
      <c r="Q12" s="85"/>
      <c r="R12" s="1"/>
      <c r="S12" s="85" t="s">
        <v>322</v>
      </c>
      <c r="T12" s="85"/>
      <c r="U12" s="85"/>
      <c r="V12" s="1"/>
      <c r="W12" s="85" t="s">
        <v>323</v>
      </c>
      <c r="X12" s="85"/>
      <c r="Y12" s="85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6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6.5" x14ac:dyDescent="0.35">
      <c r="A14" s="1"/>
      <c r="B14" s="1"/>
      <c r="C14" s="6" t="s">
        <v>324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x14ac:dyDescent="0.35">
      <c r="A15" s="1"/>
      <c r="B15" s="1"/>
      <c r="C15" s="86" t="s">
        <v>325</v>
      </c>
      <c r="D15" s="86"/>
      <c r="E15" s="86"/>
      <c r="F15" s="1"/>
      <c r="G15" s="86" t="s">
        <v>326</v>
      </c>
      <c r="H15" s="86"/>
      <c r="I15" s="86"/>
      <c r="J15" s="1"/>
      <c r="K15" s="86" t="s">
        <v>327</v>
      </c>
      <c r="L15" s="86"/>
      <c r="M15" s="86"/>
      <c r="N15" s="1"/>
      <c r="O15" s="86" t="s">
        <v>328</v>
      </c>
      <c r="P15" s="86"/>
      <c r="Q15" s="86"/>
      <c r="R15" s="1"/>
      <c r="S15" s="86" t="s">
        <v>329</v>
      </c>
      <c r="T15" s="86"/>
      <c r="U15" s="86"/>
      <c r="V15" s="1"/>
      <c r="W15" s="86" t="s">
        <v>330</v>
      </c>
      <c r="X15" s="86"/>
      <c r="Y15" s="86"/>
      <c r="Z15" s="1"/>
      <c r="AA15" s="86" t="s">
        <v>331</v>
      </c>
      <c r="AB15" s="86"/>
      <c r="AC15" s="86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25.5" customHeight="1" x14ac:dyDescent="0.55000000000000004">
      <c r="A16" s="1"/>
      <c r="B16" s="1"/>
      <c r="C16" s="87">
        <f>AL64</f>
        <v>0.99784680461393849</v>
      </c>
      <c r="D16" s="87"/>
      <c r="E16" s="87"/>
      <c r="F16" s="1"/>
      <c r="G16" s="87">
        <f>AL65</f>
        <v>0.88865430224256592</v>
      </c>
      <c r="H16" s="87"/>
      <c r="I16" s="87"/>
      <c r="J16" s="1"/>
      <c r="K16" s="88">
        <f>AL68</f>
        <v>33767.174523043148</v>
      </c>
      <c r="L16" s="88"/>
      <c r="M16" s="88"/>
      <c r="N16" s="1"/>
      <c r="O16" s="88">
        <f>AL71</f>
        <v>175459.44963809496</v>
      </c>
      <c r="P16" s="88"/>
      <c r="Q16" s="88"/>
      <c r="R16" s="1"/>
      <c r="S16" s="89">
        <f>AL72</f>
        <v>5.1961543160313637</v>
      </c>
      <c r="T16" s="89"/>
      <c r="U16" s="89"/>
      <c r="V16" s="1"/>
      <c r="W16" s="90">
        <f>AL73</f>
        <v>19.659782246463116</v>
      </c>
      <c r="X16" s="90"/>
      <c r="Y16" s="90"/>
      <c r="Z16" s="1"/>
      <c r="AA16" s="91">
        <f>AL74</f>
        <v>0.60480278210923144</v>
      </c>
      <c r="AB16" s="91"/>
      <c r="AC16" s="9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x14ac:dyDescent="0.35">
      <c r="A17" s="1"/>
      <c r="B17" s="1"/>
      <c r="C17" s="85" t="s">
        <v>332</v>
      </c>
      <c r="D17" s="85"/>
      <c r="E17" s="85"/>
      <c r="F17" s="1"/>
      <c r="G17" s="85" t="s">
        <v>332</v>
      </c>
      <c r="H17" s="85"/>
      <c r="I17" s="85"/>
      <c r="J17" s="1"/>
      <c r="K17" s="85" t="s">
        <v>333</v>
      </c>
      <c r="L17" s="85"/>
      <c r="M17" s="85"/>
      <c r="N17" s="1"/>
      <c r="O17" s="85" t="s">
        <v>334</v>
      </c>
      <c r="P17" s="85"/>
      <c r="Q17" s="85"/>
      <c r="R17" s="1"/>
      <c r="S17" s="85" t="s">
        <v>335</v>
      </c>
      <c r="T17" s="85"/>
      <c r="U17" s="85"/>
      <c r="V17" s="1"/>
      <c r="W17" s="85" t="s">
        <v>336</v>
      </c>
      <c r="X17" s="85"/>
      <c r="Y17" s="85"/>
      <c r="Z17" s="1"/>
      <c r="AA17" s="85" t="s">
        <v>337</v>
      </c>
      <c r="AB17" s="85"/>
      <c r="AC17" s="85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6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6.5" x14ac:dyDescent="0.35">
      <c r="A20" s="1"/>
      <c r="B20" s="1"/>
      <c r="C20" s="76" t="s">
        <v>338</v>
      </c>
      <c r="D20" s="5"/>
      <c r="E20" s="5"/>
      <c r="F20" s="5"/>
      <c r="G20" s="5"/>
      <c r="H20" s="5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16.5" x14ac:dyDescent="0.35">
      <c r="A37" s="1"/>
      <c r="B37" s="1"/>
      <c r="C37" s="76" t="s">
        <v>339</v>
      </c>
      <c r="D37" s="5"/>
      <c r="E37" s="5"/>
      <c r="F37" s="5"/>
      <c r="G37" s="5"/>
      <c r="H37" s="5"/>
      <c r="I37" s="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46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45" customHeight="1" x14ac:dyDescent="0.35"/>
    <row r="54" spans="1:42" ht="16.5" x14ac:dyDescent="0.35">
      <c r="A54" s="19" t="s">
        <v>340</v>
      </c>
      <c r="H54" s="24" t="s">
        <v>341</v>
      </c>
    </row>
    <row r="56" spans="1:42" x14ac:dyDescent="0.35">
      <c r="A56" s="54" t="s">
        <v>198</v>
      </c>
      <c r="C56" s="55">
        <f>ModelStart</f>
        <v>46023</v>
      </c>
      <c r="D56" s="55">
        <f t="shared" ref="D56:AL56" si="0">EDATE(C56,1)</f>
        <v>46054</v>
      </c>
      <c r="E56" s="55">
        <f t="shared" si="0"/>
        <v>46082</v>
      </c>
      <c r="F56" s="55">
        <f t="shared" si="0"/>
        <v>46113</v>
      </c>
      <c r="G56" s="55">
        <f t="shared" si="0"/>
        <v>46143</v>
      </c>
      <c r="H56" s="55">
        <f t="shared" si="0"/>
        <v>46174</v>
      </c>
      <c r="I56" s="55">
        <f t="shared" si="0"/>
        <v>46204</v>
      </c>
      <c r="J56" s="55">
        <f t="shared" si="0"/>
        <v>46235</v>
      </c>
      <c r="K56" s="55">
        <f t="shared" si="0"/>
        <v>46266</v>
      </c>
      <c r="L56" s="55">
        <f t="shared" si="0"/>
        <v>46296</v>
      </c>
      <c r="M56" s="55">
        <f t="shared" si="0"/>
        <v>46327</v>
      </c>
      <c r="N56" s="55">
        <f t="shared" si="0"/>
        <v>46357</v>
      </c>
      <c r="O56" s="55">
        <f t="shared" si="0"/>
        <v>46388</v>
      </c>
      <c r="P56" s="55">
        <f t="shared" si="0"/>
        <v>46419</v>
      </c>
      <c r="Q56" s="55">
        <f t="shared" si="0"/>
        <v>46447</v>
      </c>
      <c r="R56" s="55">
        <f t="shared" si="0"/>
        <v>46478</v>
      </c>
      <c r="S56" s="55">
        <f t="shared" si="0"/>
        <v>46508</v>
      </c>
      <c r="T56" s="55">
        <f t="shared" si="0"/>
        <v>46539</v>
      </c>
      <c r="U56" s="55">
        <f t="shared" si="0"/>
        <v>46569</v>
      </c>
      <c r="V56" s="55">
        <f t="shared" si="0"/>
        <v>46600</v>
      </c>
      <c r="W56" s="55">
        <f t="shared" si="0"/>
        <v>46631</v>
      </c>
      <c r="X56" s="55">
        <f t="shared" si="0"/>
        <v>46661</v>
      </c>
      <c r="Y56" s="55">
        <f t="shared" si="0"/>
        <v>46692</v>
      </c>
      <c r="Z56" s="55">
        <f t="shared" si="0"/>
        <v>46722</v>
      </c>
      <c r="AA56" s="55">
        <f t="shared" si="0"/>
        <v>46753</v>
      </c>
      <c r="AB56" s="55">
        <f t="shared" si="0"/>
        <v>46784</v>
      </c>
      <c r="AC56" s="55">
        <f t="shared" si="0"/>
        <v>46813</v>
      </c>
      <c r="AD56" s="55">
        <f t="shared" si="0"/>
        <v>46844</v>
      </c>
      <c r="AE56" s="55">
        <f t="shared" si="0"/>
        <v>46874</v>
      </c>
      <c r="AF56" s="55">
        <f t="shared" si="0"/>
        <v>46905</v>
      </c>
      <c r="AG56" s="55">
        <f t="shared" si="0"/>
        <v>46935</v>
      </c>
      <c r="AH56" s="55">
        <f t="shared" si="0"/>
        <v>46966</v>
      </c>
      <c r="AI56" s="55">
        <f t="shared" si="0"/>
        <v>46997</v>
      </c>
      <c r="AJ56" s="55">
        <f t="shared" si="0"/>
        <v>47027</v>
      </c>
      <c r="AK56" s="55">
        <f t="shared" si="0"/>
        <v>47058</v>
      </c>
      <c r="AL56" s="55">
        <f t="shared" si="0"/>
        <v>47088</v>
      </c>
      <c r="AN56" s="69" t="s">
        <v>263</v>
      </c>
      <c r="AO56" s="69" t="s">
        <v>264</v>
      </c>
      <c r="AP56" s="69" t="s">
        <v>265</v>
      </c>
    </row>
    <row r="57" spans="1:42" x14ac:dyDescent="0.35">
      <c r="A57" s="33" t="s">
        <v>213</v>
      </c>
      <c r="B57" s="34" t="s">
        <v>144</v>
      </c>
      <c r="C57" s="67">
        <f>'Revenue Model'!C35</f>
        <v>4296912</v>
      </c>
      <c r="D57" s="67">
        <f>'Revenue Model'!D35</f>
        <v>4598660.9398856144</v>
      </c>
      <c r="E57" s="67">
        <f>'Revenue Model'!E35</f>
        <v>4901261.5172887743</v>
      </c>
      <c r="F57" s="67">
        <f>'Revenue Model'!F35</f>
        <v>5204728.4361577984</v>
      </c>
      <c r="G57" s="67">
        <f>'Revenue Model'!G35</f>
        <v>5509076.4073817842</v>
      </c>
      <c r="H57" s="67">
        <f>'Revenue Model'!H35</f>
        <v>5814320.1494135475</v>
      </c>
      <c r="I57" s="67">
        <f>'Revenue Model'!I35</f>
        <v>6120474.3888911633</v>
      </c>
      <c r="J57" s="67">
        <f>'Revenue Model'!J35</f>
        <v>6427553.8612581259</v>
      </c>
      <c r="K57" s="67">
        <f>'Revenue Model'!K35</f>
        <v>6735573.3113821596</v>
      </c>
      <c r="L57" s="67">
        <f>'Revenue Model'!L35</f>
        <v>7044547.4941726979</v>
      </c>
      <c r="M57" s="67">
        <f>'Revenue Model'!M35</f>
        <v>7354491.175197091</v>
      </c>
      <c r="N57" s="67">
        <f>'Revenue Model'!N35</f>
        <v>7665419.1312955348</v>
      </c>
      <c r="O57" s="67">
        <f>'Revenue Model'!O35</f>
        <v>7977346.1511947773</v>
      </c>
      <c r="P57" s="67">
        <f>'Revenue Model'!P35</f>
        <v>8290287.0361206103</v>
      </c>
      <c r="Q57" s="67">
        <f>'Revenue Model'!Q35</f>
        <v>8604256.600409206</v>
      </c>
      <c r="R57" s="67">
        <f>'Revenue Model'!R35</f>
        <v>8919269.672117278</v>
      </c>
      <c r="S57" s="67">
        <f>'Revenue Model'!S35</f>
        <v>9235341.0936311521</v>
      </c>
      <c r="T57" s="67">
        <f>'Revenue Model'!T35</f>
        <v>9552485.7222747356</v>
      </c>
      <c r="U57" s="67">
        <f>'Revenue Model'!U35</f>
        <v>9870718.4309164099</v>
      </c>
      <c r="V57" s="67">
        <f>'Revenue Model'!V35</f>
        <v>10190054.108574927</v>
      </c>
      <c r="W57" s="67">
        <f>'Revenue Model'!W35</f>
        <v>10510507.661024267</v>
      </c>
      <c r="X57" s="67">
        <f>'Revenue Model'!X35</f>
        <v>10832094.011397526</v>
      </c>
      <c r="Y57" s="67">
        <f>'Revenue Model'!Y35</f>
        <v>11154828.100789865</v>
      </c>
      <c r="Z57" s="67">
        <f>'Revenue Model'!Z35</f>
        <v>11478724.888860533</v>
      </c>
      <c r="AA57" s="67">
        <f>'Revenue Model'!AA35</f>
        <v>11803799.354433993</v>
      </c>
      <c r="AB57" s="67">
        <f>'Revenue Model'!AB35</f>
        <v>12130066.496100165</v>
      </c>
      <c r="AC57" s="67">
        <f>'Revenue Model'!AC35</f>
        <v>12457541.332813866</v>
      </c>
      <c r="AD57" s="67">
        <f>'Revenue Model'!AD35</f>
        <v>12786238.904493408</v>
      </c>
      <c r="AE57" s="67">
        <f>'Revenue Model'!AE35</f>
        <v>13116174.272618406</v>
      </c>
      <c r="AF57" s="67">
        <f>'Revenue Model'!AF35</f>
        <v>13447362.520826869</v>
      </c>
      <c r="AG57" s="67">
        <f>'Revenue Model'!AG35</f>
        <v>13779818.755511502</v>
      </c>
      <c r="AH57" s="67">
        <f>'Revenue Model'!AH35</f>
        <v>14113558.106415343</v>
      </c>
      <c r="AI57" s="67">
        <f>'Revenue Model'!AI35</f>
        <v>14448595.727226717</v>
      </c>
      <c r="AJ57" s="67">
        <f>'Revenue Model'!AJ35</f>
        <v>14784946.796173515</v>
      </c>
      <c r="AK57" s="67">
        <f>'Revenue Model'!AK35</f>
        <v>15122626.516616872</v>
      </c>
      <c r="AL57" s="67">
        <f>'Revenue Model'!AL35</f>
        <v>15461650.117644239</v>
      </c>
      <c r="AN57" s="58">
        <f>N57</f>
        <v>7665419.1312955348</v>
      </c>
      <c r="AO57" s="58">
        <f>Z57</f>
        <v>11478724.888860533</v>
      </c>
      <c r="AP57" s="58">
        <f>AL57</f>
        <v>15461650.117644239</v>
      </c>
    </row>
    <row r="58" spans="1:42" x14ac:dyDescent="0.35">
      <c r="A58" s="33" t="s">
        <v>342</v>
      </c>
      <c r="B58" s="34" t="s">
        <v>144</v>
      </c>
      <c r="C58" s="58">
        <f>'Revenue Model'!C45-'Revenue Model'!C41</f>
        <v>300912</v>
      </c>
      <c r="D58" s="58">
        <f>'Revenue Model'!D45-'Revenue Model'!D41</f>
        <v>301748.93988561444</v>
      </c>
      <c r="E58" s="58">
        <f>'Revenue Model'!E45-'Revenue Model'!E41</f>
        <v>302600.57740315981</v>
      </c>
      <c r="F58" s="58">
        <f>'Revenue Model'!F45-'Revenue Model'!F41</f>
        <v>303466.91886902601</v>
      </c>
      <c r="G58" s="58">
        <f>'Revenue Model'!G45-'Revenue Model'!G41</f>
        <v>304347.97122398578</v>
      </c>
      <c r="H58" s="58">
        <f>'Revenue Model'!H45-'Revenue Model'!H41</f>
        <v>305243.74203176238</v>
      </c>
      <c r="I58" s="58">
        <f>'Revenue Model'!I45-'Revenue Model'!I41</f>
        <v>306154.23947761673</v>
      </c>
      <c r="J58" s="58">
        <f>'Revenue Model'!J45-'Revenue Model'!J41</f>
        <v>307079.47236696351</v>
      </c>
      <c r="K58" s="58">
        <f>'Revenue Model'!K45-'Revenue Model'!K41</f>
        <v>308019.45012403373</v>
      </c>
      <c r="L58" s="58">
        <f>'Revenue Model'!L45-'Revenue Model'!L41</f>
        <v>308974.1827905383</v>
      </c>
      <c r="M58" s="58">
        <f>'Revenue Model'!M45-'Revenue Model'!M41</f>
        <v>309943.681024394</v>
      </c>
      <c r="N58" s="58">
        <f>'Revenue Model'!N45-'Revenue Model'!N41</f>
        <v>310927.95609844383</v>
      </c>
      <c r="O58" s="58">
        <f>'Revenue Model'!O45-'Revenue Model'!O41</f>
        <v>311927.01989924069</v>
      </c>
      <c r="P58" s="58">
        <f>'Revenue Model'!P45-'Revenue Model'!P41</f>
        <v>312940.8849258339</v>
      </c>
      <c r="Q58" s="58">
        <f>'Revenue Model'!Q45-'Revenue Model'!Q41</f>
        <v>313969.56428859569</v>
      </c>
      <c r="R58" s="58">
        <f>'Revenue Model'!R45-'Revenue Model'!R41</f>
        <v>315013.07170807198</v>
      </c>
      <c r="S58" s="58">
        <f>'Revenue Model'!S45-'Revenue Model'!S41</f>
        <v>316071.42151387595</v>
      </c>
      <c r="T58" s="58">
        <f>'Revenue Model'!T45-'Revenue Model'!T41</f>
        <v>317144.62864358164</v>
      </c>
      <c r="U58" s="58">
        <f>'Revenue Model'!U45-'Revenue Model'!U41</f>
        <v>318232.70864167437</v>
      </c>
      <c r="V58" s="58">
        <f>'Revenue Model'!V45-'Revenue Model'!V41</f>
        <v>319335.67765851878</v>
      </c>
      <c r="W58" s="58">
        <f>'Revenue Model'!W45-'Revenue Model'!W41</f>
        <v>320453.55244933814</v>
      </c>
      <c r="X58" s="58">
        <f>'Revenue Model'!X45-'Revenue Model'!X41</f>
        <v>321586.35037325695</v>
      </c>
      <c r="Y58" s="58">
        <f>'Revenue Model'!Y45-'Revenue Model'!Y41</f>
        <v>322734.08939233981</v>
      </c>
      <c r="Z58" s="58">
        <f>'Revenue Model'!Z45-'Revenue Model'!Z41</f>
        <v>323896.7880706694</v>
      </c>
      <c r="AA58" s="58">
        <f>'Revenue Model'!AA45-'Revenue Model'!AA41</f>
        <v>325074.465573458</v>
      </c>
      <c r="AB58" s="58">
        <f>'Revenue Model'!AB45-'Revenue Model'!AB41</f>
        <v>326267.14166617207</v>
      </c>
      <c r="AC58" s="58">
        <f>'Revenue Model'!AC45-'Revenue Model'!AC41</f>
        <v>327474.83671370149</v>
      </c>
      <c r="AD58" s="58">
        <f>'Revenue Model'!AD45-'Revenue Model'!AD41</f>
        <v>328697.57167953812</v>
      </c>
      <c r="AE58" s="58">
        <f>'Revenue Model'!AE45-'Revenue Model'!AE41</f>
        <v>329935.36812499911</v>
      </c>
      <c r="AF58" s="58">
        <f>'Revenue Model'!AF45-'Revenue Model'!AF41</f>
        <v>331188.24820846133</v>
      </c>
      <c r="AG58" s="58">
        <f>'Revenue Model'!AG45-'Revenue Model'!AG41</f>
        <v>332456.23468463309</v>
      </c>
      <c r="AH58" s="58">
        <f>'Revenue Model'!AH45-'Revenue Model'!AH41</f>
        <v>333739.3509038426</v>
      </c>
      <c r="AI58" s="58">
        <f>'Revenue Model'!AI45-'Revenue Model'!AI41</f>
        <v>335037.62081137113</v>
      </c>
      <c r="AJ58" s="58">
        <f>'Revenue Model'!AJ45-'Revenue Model'!AJ41</f>
        <v>336351.06894679554</v>
      </c>
      <c r="AK58" s="58">
        <f>'Revenue Model'!AK45-'Revenue Model'!AK41</f>
        <v>337679.72044335864</v>
      </c>
      <c r="AL58" s="58">
        <f>'Revenue Model'!AL45-'Revenue Model'!AL41</f>
        <v>339023.60102736764</v>
      </c>
      <c r="AN58" s="58">
        <f>SUM(C58:N58)</f>
        <v>3669419.1312955385</v>
      </c>
      <c r="AO58" s="58">
        <f>SUM(O58:Z58)</f>
        <v>3813305.7575649973</v>
      </c>
      <c r="AP58" s="58">
        <f>SUM(AA58:AL58)</f>
        <v>3982925.2287836988</v>
      </c>
    </row>
    <row r="59" spans="1:42" x14ac:dyDescent="0.35">
      <c r="A59" s="33" t="s">
        <v>266</v>
      </c>
      <c r="B59" s="34" t="s">
        <v>144</v>
      </c>
      <c r="C59" s="67">
        <f>'Income Statement'!C7</f>
        <v>358076</v>
      </c>
      <c r="D59" s="67">
        <f>'Income Statement'!D7</f>
        <v>383221.74499046785</v>
      </c>
      <c r="E59" s="67">
        <f>'Income Statement'!E7</f>
        <v>408438.45977406448</v>
      </c>
      <c r="F59" s="67">
        <f>'Income Statement'!F7</f>
        <v>433727.36967981653</v>
      </c>
      <c r="G59" s="67">
        <f>'Income Statement'!G7</f>
        <v>459089.7006151487</v>
      </c>
      <c r="H59" s="67">
        <f>'Income Statement'!H7</f>
        <v>484526.6791177956</v>
      </c>
      <c r="I59" s="67">
        <f>'Income Statement'!I7</f>
        <v>510039.53240759694</v>
      </c>
      <c r="J59" s="67">
        <f>'Income Statement'!J7</f>
        <v>535629.48843817716</v>
      </c>
      <c r="K59" s="67">
        <f>'Income Statement'!K7</f>
        <v>561297.7759485133</v>
      </c>
      <c r="L59" s="67">
        <f>'Income Statement'!L7</f>
        <v>587045.62451439153</v>
      </c>
      <c r="M59" s="67">
        <f>'Income Statement'!M7</f>
        <v>612874.26459975762</v>
      </c>
      <c r="N59" s="67">
        <f>'Income Statement'!N7</f>
        <v>638784.92760796123</v>
      </c>
      <c r="O59" s="67">
        <f>'Income Statement'!O7</f>
        <v>664778.84593289811</v>
      </c>
      <c r="P59" s="67">
        <f>'Income Statement'!P7</f>
        <v>690857.25301005086</v>
      </c>
      <c r="Q59" s="67">
        <f>'Income Statement'!Q7</f>
        <v>717021.38336743379</v>
      </c>
      <c r="R59" s="67">
        <f>'Income Statement'!R7</f>
        <v>743272.47267643991</v>
      </c>
      <c r="S59" s="67">
        <f>'Income Statement'!S7</f>
        <v>769611.75780259608</v>
      </c>
      <c r="T59" s="67">
        <f>'Income Statement'!T7</f>
        <v>796040.47685622796</v>
      </c>
      <c r="U59" s="67">
        <f>'Income Statement'!U7</f>
        <v>822559.86924303416</v>
      </c>
      <c r="V59" s="67">
        <f>'Income Statement'!V7</f>
        <v>849171.17571457732</v>
      </c>
      <c r="W59" s="67">
        <f>'Income Statement'!W7</f>
        <v>875875.6384186889</v>
      </c>
      <c r="X59" s="67">
        <f>'Income Statement'!X7</f>
        <v>902674.50094979373</v>
      </c>
      <c r="Y59" s="67">
        <f>'Income Statement'!Y7</f>
        <v>929569.00839915546</v>
      </c>
      <c r="Z59" s="67">
        <f>'Income Statement'!Z7</f>
        <v>956560.40740504442</v>
      </c>
      <c r="AA59" s="67">
        <f>'Income Statement'!AA7</f>
        <v>983649.94620283274</v>
      </c>
      <c r="AB59" s="67">
        <f>'Income Statement'!AB7</f>
        <v>1010838.8746750138</v>
      </c>
      <c r="AC59" s="67">
        <f>'Income Statement'!AC7</f>
        <v>1038128.4444011556</v>
      </c>
      <c r="AD59" s="67">
        <f>'Income Statement'!AD7</f>
        <v>1065519.908707784</v>
      </c>
      <c r="AE59" s="67">
        <f>'Income Statement'!AE7</f>
        <v>1093014.5227182005</v>
      </c>
      <c r="AF59" s="67">
        <f>'Income Statement'!AF7</f>
        <v>1120613.543402239</v>
      </c>
      <c r="AG59" s="67">
        <f>'Income Statement'!AG7</f>
        <v>1148318.2296259585</v>
      </c>
      <c r="AH59" s="67">
        <f>'Income Statement'!AH7</f>
        <v>1176129.8422012785</v>
      </c>
      <c r="AI59" s="67">
        <f>'Income Statement'!AI7</f>
        <v>1204049.6439355598</v>
      </c>
      <c r="AJ59" s="67">
        <f>'Income Statement'!AJ7</f>
        <v>1232078.8996811262</v>
      </c>
      <c r="AK59" s="67">
        <f>'Income Statement'!AK7</f>
        <v>1260218.8763847393</v>
      </c>
      <c r="AL59" s="67">
        <f>'Income Statement'!AL7</f>
        <v>1288470.84313702</v>
      </c>
      <c r="AN59" s="58">
        <f>SUM(C59:N59)</f>
        <v>5972751.5676936908</v>
      </c>
      <c r="AO59" s="58">
        <f>SUM(O59:Z59)</f>
        <v>9717992.7897759415</v>
      </c>
      <c r="AP59" s="58">
        <f>SUM(AA59:AL59)</f>
        <v>13621031.575072909</v>
      </c>
    </row>
    <row r="60" spans="1:42" x14ac:dyDescent="0.35">
      <c r="A60" s="33" t="s">
        <v>343</v>
      </c>
      <c r="B60" s="34" t="s">
        <v>114</v>
      </c>
      <c r="C60" s="70" t="str">
        <f t="shared" ref="C60:N60" si="1">"n/a"</f>
        <v>n/a</v>
      </c>
      <c r="D60" s="70" t="str">
        <f t="shared" si="1"/>
        <v>n/a</v>
      </c>
      <c r="E60" s="70" t="str">
        <f t="shared" si="1"/>
        <v>n/a</v>
      </c>
      <c r="F60" s="70" t="str">
        <f t="shared" si="1"/>
        <v>n/a</v>
      </c>
      <c r="G60" s="70" t="str">
        <f t="shared" si="1"/>
        <v>n/a</v>
      </c>
      <c r="H60" s="70" t="str">
        <f t="shared" si="1"/>
        <v>n/a</v>
      </c>
      <c r="I60" s="70" t="str">
        <f t="shared" si="1"/>
        <v>n/a</v>
      </c>
      <c r="J60" s="70" t="str">
        <f t="shared" si="1"/>
        <v>n/a</v>
      </c>
      <c r="K60" s="70" t="str">
        <f t="shared" si="1"/>
        <v>n/a</v>
      </c>
      <c r="L60" s="70" t="str">
        <f t="shared" si="1"/>
        <v>n/a</v>
      </c>
      <c r="M60" s="70" t="str">
        <f t="shared" si="1"/>
        <v>n/a</v>
      </c>
      <c r="N60" s="70" t="str">
        <f t="shared" si="1"/>
        <v>n/a</v>
      </c>
      <c r="O60" s="70">
        <f t="shared" ref="O60:AL60" si="2">IFERROR(O59/C59-1,"n/a")</f>
        <v>0.85653002695767966</v>
      </c>
      <c r="P60" s="70">
        <f t="shared" si="2"/>
        <v>0.80276109600000667</v>
      </c>
      <c r="Q60" s="70">
        <f t="shared" si="2"/>
        <v>0.75551877206683193</v>
      </c>
      <c r="R60" s="70">
        <f t="shared" si="2"/>
        <v>0.71368588803868604</v>
      </c>
      <c r="S60" s="70">
        <f t="shared" si="2"/>
        <v>0.67638645949009346</v>
      </c>
      <c r="T60" s="70">
        <f t="shared" si="2"/>
        <v>0.64292393208485987</v>
      </c>
      <c r="U60" s="70">
        <f t="shared" si="2"/>
        <v>0.61273747813274859</v>
      </c>
      <c r="V60" s="70">
        <f t="shared" si="2"/>
        <v>0.58537047351639493</v>
      </c>
      <c r="W60" s="70">
        <f t="shared" si="2"/>
        <v>0.56044737027255054</v>
      </c>
      <c r="X60" s="70">
        <f t="shared" si="2"/>
        <v>0.5376564669849857</v>
      </c>
      <c r="Y60" s="70">
        <f t="shared" si="2"/>
        <v>0.51673689383289378</v>
      </c>
      <c r="Z60" s="70">
        <f t="shared" si="2"/>
        <v>0.49746865660567097</v>
      </c>
      <c r="AA60" s="70">
        <f t="shared" si="2"/>
        <v>0.47966493251218933</v>
      </c>
      <c r="AB60" s="70">
        <f t="shared" si="2"/>
        <v>0.46316604518633864</v>
      </c>
      <c r="AC60" s="70">
        <f t="shared" si="2"/>
        <v>0.44783470686141613</v>
      </c>
      <c r="AD60" s="70">
        <f t="shared" si="2"/>
        <v>0.43355222731573484</v>
      </c>
      <c r="AE60" s="70">
        <f t="shared" si="2"/>
        <v>0.42021546791201247</v>
      </c>
      <c r="AF60" s="70">
        <f t="shared" si="2"/>
        <v>0.40773437530191292</v>
      </c>
      <c r="AG60" s="70">
        <f t="shared" si="2"/>
        <v>0.39602997005276408</v>
      </c>
      <c r="AH60" s="70">
        <f t="shared" si="2"/>
        <v>0.38503269521785821</v>
      </c>
      <c r="AI60" s="70">
        <f t="shared" si="2"/>
        <v>0.37468105187781919</v>
      </c>
      <c r="AJ60" s="70">
        <f t="shared" si="2"/>
        <v>0.36492046511199039</v>
      </c>
      <c r="AK60" s="70">
        <f t="shared" si="2"/>
        <v>0.35570233624183323</v>
      </c>
      <c r="AL60" s="70">
        <f t="shared" si="2"/>
        <v>0.34698324660162516</v>
      </c>
      <c r="AN60" s="70" t="str">
        <f>"n/a"</f>
        <v>n/a</v>
      </c>
      <c r="AO60" s="70">
        <f>IFERROR(AO59/AN59-1,"n/a")</f>
        <v>0.62705457939018761</v>
      </c>
      <c r="AP60" s="70">
        <f>IFERROR(AP59/AO59-1,"n/a")</f>
        <v>0.40163013800578828</v>
      </c>
    </row>
    <row r="61" spans="1:42" x14ac:dyDescent="0.35">
      <c r="A61" s="33" t="s">
        <v>269</v>
      </c>
      <c r="B61" s="34" t="s">
        <v>114</v>
      </c>
      <c r="C61" s="77">
        <f>'Income Statement'!C10</f>
        <v>0.80524877400328421</v>
      </c>
      <c r="D61" s="77">
        <f>'Income Statement'!D10</f>
        <v>0.80984597559578808</v>
      </c>
      <c r="E61" s="77">
        <f>'Income Statement'!E10</f>
        <v>0.81389372239403257</v>
      </c>
      <c r="F61" s="77">
        <f>'Income Statement'!F10</f>
        <v>0.81748612422217815</v>
      </c>
      <c r="G61" s="77">
        <f>'Income Statement'!G10</f>
        <v>0.82069697284634047</v>
      </c>
      <c r="H61" s="77">
        <f>'Income Statement'!H10</f>
        <v>0.82358494422590767</v>
      </c>
      <c r="I61" s="77">
        <f>'Income Statement'!I10</f>
        <v>0.82619728024171613</v>
      </c>
      <c r="J61" s="77">
        <f>'Income Statement'!J10</f>
        <v>0.82857244430814403</v>
      </c>
      <c r="K61" s="77">
        <f>'Income Statement'!K10</f>
        <v>0.83074206970654241</v>
      </c>
      <c r="L61" s="77">
        <f>'Income Statement'!L10</f>
        <v>0.83273241106681994</v>
      </c>
      <c r="M61" s="77">
        <f>'Income Statement'!M10</f>
        <v>0.83456544079201611</v>
      </c>
      <c r="N61" s="77">
        <f>'Income Statement'!N10</f>
        <v>0.83625968778507398</v>
      </c>
      <c r="O61" s="77">
        <f>'Income Statement'!O10</f>
        <v>0.83426179577157877</v>
      </c>
      <c r="P61" s="77">
        <f>'Income Statement'!P10</f>
        <v>0.8351510441922686</v>
      </c>
      <c r="Q61" s="77">
        <f>'Income Statement'!Q10</f>
        <v>0.83598445007210576</v>
      </c>
      <c r="R61" s="77">
        <f>'Income Statement'!R10</f>
        <v>0.83676774399568676</v>
      </c>
      <c r="S61" s="77">
        <f>'Income Statement'!S10</f>
        <v>0.83750590484831111</v>
      </c>
      <c r="T61" s="77">
        <f>'Income Statement'!T10</f>
        <v>0.83820327902707592</v>
      </c>
      <c r="U61" s="77">
        <f>'Income Statement'!U10</f>
        <v>0.8388636776629429</v>
      </c>
      <c r="V61" s="77">
        <f>'Income Statement'!V10</f>
        <v>0.83949045644464382</v>
      </c>
      <c r="W61" s="77">
        <f>'Income Statement'!W10</f>
        <v>0.84008658157160898</v>
      </c>
      <c r="X61" s="77">
        <f>'Income Statement'!X10</f>
        <v>0.84065468456887149</v>
      </c>
      <c r="Y61" s="77">
        <f>'Income Statement'!Y10</f>
        <v>0.8411971080983619</v>
      </c>
      <c r="Z61" s="77">
        <f>'Income Statement'!Z10</f>
        <v>0.84171594444600306</v>
      </c>
      <c r="AA61" s="77">
        <f>'Income Statement'!AA10</f>
        <v>0.83950159073591757</v>
      </c>
      <c r="AB61" s="77">
        <f>'Income Statement'!AB10</f>
        <v>0.83999776940439708</v>
      </c>
      <c r="AC61" s="77">
        <f>'Income Statement'!AC10</f>
        <v>0.84047469616186565</v>
      </c>
      <c r="AD61" s="77">
        <f>'Income Statement'!AD10</f>
        <v>0.8409337963199125</v>
      </c>
      <c r="AE61" s="77">
        <f>'Income Statement'!AE10</f>
        <v>0.84137636051397824</v>
      </c>
      <c r="AF61" s="77">
        <f>'Income Statement'!AF10</f>
        <v>0.841803560174742</v>
      </c>
      <c r="AG61" s="77">
        <f>'Income Statement'!AG10</f>
        <v>0.842216460914886</v>
      </c>
      <c r="AH61" s="77">
        <f>'Income Statement'!AH10</f>
        <v>0.84261603415174879</v>
      </c>
      <c r="AI61" s="77">
        <f>'Income Statement'!AI10</f>
        <v>0.84300316723126967</v>
      </c>
      <c r="AJ61" s="77">
        <f>'Income Statement'!AJ10</f>
        <v>0.84337867227395602</v>
      </c>
      <c r="AK61" s="77">
        <f>'Income Statement'!AK10</f>
        <v>0.84374329392721426</v>
      </c>
      <c r="AL61" s="77">
        <f>'Income Statement'!AL10</f>
        <v>0.84409771617861129</v>
      </c>
      <c r="AN61" s="70">
        <f>IFERROR(('Income Statement'!AN9)/('Income Statement'!AN7),0)</f>
        <v>0.8250008845594704</v>
      </c>
      <c r="AO61" s="70">
        <f>IFERROR(('Income Statement'!AO9)/('Income Statement'!AO7),0)</f>
        <v>0.83858588239228349</v>
      </c>
      <c r="AP61" s="70">
        <f>IFERROR(('Income Statement'!AP9)/('Income Statement'!AP7),0)</f>
        <v>0.84204967179036538</v>
      </c>
    </row>
    <row r="62" spans="1:42" x14ac:dyDescent="0.35">
      <c r="A62" s="33" t="s">
        <v>275</v>
      </c>
      <c r="B62" s="34" t="s">
        <v>114</v>
      </c>
      <c r="C62" s="77">
        <f>'Income Statement'!C18</f>
        <v>-1.0536696463258577</v>
      </c>
      <c r="D62" s="77">
        <f>'Income Statement'!D18</f>
        <v>-0.95848129727093923</v>
      </c>
      <c r="E62" s="77">
        <f>'Income Statement'!E18</f>
        <v>-0.874705472079919</v>
      </c>
      <c r="F62" s="77">
        <f>'Income Statement'!F18</f>
        <v>-0.8003879002580564</v>
      </c>
      <c r="G62" s="77">
        <f>'Income Statement'!G18</f>
        <v>-0.73399622784883556</v>
      </c>
      <c r="H62" s="77">
        <f>'Income Statement'!H18</f>
        <v>-0.6743119895847367</v>
      </c>
      <c r="I62" s="77">
        <f>'Income Statement'!I18</f>
        <v>-0.62035415560823026</v>
      </c>
      <c r="J62" s="77">
        <f>'Income Statement'!J18</f>
        <v>-0.57132398610549762</v>
      </c>
      <c r="K62" s="77">
        <f>'Income Statement'!K18</f>
        <v>-0.5265645730035774</v>
      </c>
      <c r="L62" s="77">
        <f>'Income Statement'!L18</f>
        <v>-0.48553069909252705</v>
      </c>
      <c r="M62" s="77">
        <f>'Income Statement'!M18</f>
        <v>-0.44776607011824493</v>
      </c>
      <c r="N62" s="77">
        <f>'Income Statement'!N18</f>
        <v>-0.41288589812389764</v>
      </c>
      <c r="O62" s="77">
        <f>'Income Statement'!O18</f>
        <v>-0.4660580563812256</v>
      </c>
      <c r="P62" s="77">
        <f>'Income Statement'!P18</f>
        <v>-0.43275990257096764</v>
      </c>
      <c r="Q62" s="77">
        <f>'Income Statement'!Q18</f>
        <v>-0.40172733567513957</v>
      </c>
      <c r="R62" s="77">
        <f>'Income Statement'!R18</f>
        <v>-0.37272970540394457</v>
      </c>
      <c r="S62" s="77">
        <f>'Income Statement'!S18</f>
        <v>-0.34556659081527358</v>
      </c>
      <c r="T62" s="77">
        <f>'Income Statement'!T18</f>
        <v>-0.32006300627706502</v>
      </c>
      <c r="U62" s="77">
        <f>'Income Statement'!U18</f>
        <v>-0.29606549171599511</v>
      </c>
      <c r="V62" s="77">
        <f>'Income Statement'!V18</f>
        <v>-0.27343890253131858</v>
      </c>
      <c r="W62" s="77">
        <f>'Income Statement'!W18</f>
        <v>-0.25206375732851488</v>
      </c>
      <c r="X62" s="77">
        <f>'Income Statement'!X18</f>
        <v>-0.23183403356721718</v>
      </c>
      <c r="Y62" s="77">
        <f>'Income Statement'!Y18</f>
        <v>-0.21265532528824171</v>
      </c>
      <c r="Z62" s="77">
        <f>'Income Statement'!Z18</f>
        <v>-0.1944432953823042</v>
      </c>
      <c r="AA62" s="77">
        <f>'Income Statement'!AA18</f>
        <v>-0.24862027793264313</v>
      </c>
      <c r="AB62" s="77">
        <f>'Income Statement'!AB18</f>
        <v>-0.23068540424554301</v>
      </c>
      <c r="AC62" s="77">
        <f>'Income Statement'!AC18</f>
        <v>-0.21358112621261469</v>
      </c>
      <c r="AD62" s="77">
        <f>'Income Statement'!AD18</f>
        <v>-0.19724716957398267</v>
      </c>
      <c r="AE62" s="77">
        <f>'Income Statement'!AE18</f>
        <v>-0.1816289349952811</v>
      </c>
      <c r="AF62" s="77">
        <f>'Income Statement'!AF18</f>
        <v>-0.16667684618013331</v>
      </c>
      <c r="AG62" s="77">
        <f>'Income Statement'!AG18</f>
        <v>-0.15234578582127903</v>
      </c>
      <c r="AH62" s="77">
        <f>'Income Statement'!AH18</f>
        <v>-0.13859460588506323</v>
      </c>
      <c r="AI62" s="77">
        <f>'Income Statement'!AI18</f>
        <v>-0.12538570104610552</v>
      </c>
      <c r="AJ62" s="77">
        <f>'Income Statement'!AJ18</f>
        <v>-0.11268463597133516</v>
      </c>
      <c r="AK62" s="77">
        <f>'Income Statement'!AK18</f>
        <v>-0.1004598186858251</v>
      </c>
      <c r="AL62" s="77">
        <f>'Income Statement'!AL18</f>
        <v>-8.8682213507535773E-2</v>
      </c>
      <c r="AN62" s="70">
        <f>IFERROR(AN63/AN59,0)</f>
        <v>-0.64524554543853974</v>
      </c>
      <c r="AO62" s="70">
        <f>IFERROR(AO63/AO59,0)</f>
        <v>-0.30706676958126888</v>
      </c>
      <c r="AP62" s="70">
        <f>IFERROR(AP63/AP59,0)</f>
        <v>-0.15883961365854235</v>
      </c>
    </row>
    <row r="63" spans="1:42" x14ac:dyDescent="0.35">
      <c r="A63" s="33" t="s">
        <v>274</v>
      </c>
      <c r="B63" s="34" t="s">
        <v>144</v>
      </c>
      <c r="C63" s="67">
        <f>'Income Statement'!C17</f>
        <v>-377293.81227777782</v>
      </c>
      <c r="D63" s="67">
        <f>'Income Statement'!D17</f>
        <v>-367310.87528089667</v>
      </c>
      <c r="E63" s="67">
        <f>'Income Statement'!E17</f>
        <v>-357263.35577226809</v>
      </c>
      <c r="F63" s="67">
        <f>'Income Statement'!F17</f>
        <v>-347150.13870247814</v>
      </c>
      <c r="G63" s="67">
        <f>'Income Statement'!G17</f>
        <v>-336970.10849577037</v>
      </c>
      <c r="H63" s="67">
        <f>'Income Statement'!H17</f>
        <v>-326722.14900280605</v>
      </c>
      <c r="I63" s="67">
        <f>'Income Statement'!I17</f>
        <v>-316405.14345353137</v>
      </c>
      <c r="J63" s="67">
        <f>'Income Statement'!J17</f>
        <v>-306017.97441014793</v>
      </c>
      <c r="K63" s="67">
        <f>'Income Statement'!K17</f>
        <v>-295559.52372018655</v>
      </c>
      <c r="L63" s="67">
        <f>'Income Statement'!L17</f>
        <v>-285028.67246968165</v>
      </c>
      <c r="M63" s="67">
        <f>'Income Statement'!M17</f>
        <v>-274424.30093644286</v>
      </c>
      <c r="N63" s="67">
        <f>'Income Statement'!N17</f>
        <v>-263745.28854342201</v>
      </c>
      <c r="O63" s="67">
        <f>'Income Statement'!O17</f>
        <v>-309825.53685884073</v>
      </c>
      <c r="P63" s="67">
        <f>'Income Statement'!P17</f>
        <v>-298975.31750307593</v>
      </c>
      <c r="Q63" s="67">
        <f>'Income Statement'!Q17</f>
        <v>-288047.08996230201</v>
      </c>
      <c r="R63" s="67">
        <f>'Income Statement'!R17</f>
        <v>-277039.72977555089</v>
      </c>
      <c r="S63" s="67">
        <f>'Income Statement'!S17</f>
        <v>-265952.11139519315</v>
      </c>
      <c r="T63" s="67">
        <f>'Income Statement'!T17</f>
        <v>-254783.10814083274</v>
      </c>
      <c r="U63" s="67">
        <f>'Income Statement'!U17</f>
        <v>-243531.59215328353</v>
      </c>
      <c r="V63" s="67">
        <f>'Income Statement'!V17</f>
        <v>-232196.4343486235</v>
      </c>
      <c r="W63" s="67">
        <f>'Income Statement'!W17</f>
        <v>-220776.50437232642</v>
      </c>
      <c r="X63" s="67">
        <f>'Income Statement'!X17</f>
        <v>-209270.67055346549</v>
      </c>
      <c r="Y63" s="67">
        <f>'Income Statement'!Y17</f>
        <v>-197677.79985899071</v>
      </c>
      <c r="Z63" s="67">
        <f>'Income Statement'!Z17</f>
        <v>-185996.75784807629</v>
      </c>
      <c r="AA63" s="67">
        <f>'Income Statement'!AA17</f>
        <v>-244555.32301337773</v>
      </c>
      <c r="AB63" s="67">
        <f>'Income Statement'!AB17</f>
        <v>-233185.77443151537</v>
      </c>
      <c r="AC63" s="67">
        <f>'Income Statement'!AC17</f>
        <v>-221724.64230854856</v>
      </c>
      <c r="AD63" s="67">
        <f>'Income Statement'!AD17</f>
        <v>-210170.78611733881</v>
      </c>
      <c r="AE63" s="67">
        <f>'Income Statement'!AE17</f>
        <v>-198523.06369568221</v>
      </c>
      <c r="AF63" s="67">
        <f>'Income Statement'!AF17</f>
        <v>-186780.33120102913</v>
      </c>
      <c r="AG63" s="67">
        <f>'Income Statement'!AG17</f>
        <v>-174941.44306526659</v>
      </c>
      <c r="AH63" s="67">
        <f>'Income Statement'!AH17</f>
        <v>-163005.25194954779</v>
      </c>
      <c r="AI63" s="67">
        <f>'Income Statement'!AI17</f>
        <v>-150970.6086991739</v>
      </c>
      <c r="AJ63" s="67">
        <f>'Income Statement'!AJ17</f>
        <v>-138836.36229853088</v>
      </c>
      <c r="AK63" s="67">
        <f>'Income Statement'!AK17</f>
        <v>-126601.35982606513</v>
      </c>
      <c r="AL63" s="67">
        <f>'Income Statement'!AL17</f>
        <v>-114264.44640931184</v>
      </c>
      <c r="AN63" s="58">
        <f>SUM(C63:N63)</f>
        <v>-3853891.343065409</v>
      </c>
      <c r="AO63" s="58">
        <f>SUM(O63:Z63)</f>
        <v>-2984072.6527705612</v>
      </c>
      <c r="AP63" s="58">
        <f>SUM(AA63:AL63)</f>
        <v>-2163559.3930153875</v>
      </c>
    </row>
    <row r="64" spans="1:42" x14ac:dyDescent="0.35">
      <c r="A64" s="33" t="s">
        <v>344</v>
      </c>
      <c r="B64" s="34" t="s">
        <v>114</v>
      </c>
      <c r="C64" s="70">
        <f>IFERROR(((('Revenue Model'!C14+'Revenue Model'!C27)+('Revenue Model'!C16+'Revenue Model'!C29)+('Revenue Model'!C17+'Revenue Model'!C30))/('Revenue Model'!C14+'Revenue Model'!C27))^12,"n/a")</f>
        <v>0.98838660277013457</v>
      </c>
      <c r="D64" s="70">
        <f>IFERROR(((('Revenue Model'!D14+'Revenue Model'!D27)+('Revenue Model'!D16+'Revenue Model'!D29)+('Revenue Model'!D17+'Revenue Model'!D30))/('Revenue Model'!D14+'Revenue Model'!D27))^12,"n/a")</f>
        <v>0.9887510523075721</v>
      </c>
      <c r="E64" s="70">
        <f>IFERROR(((('Revenue Model'!E14+'Revenue Model'!E27)+('Revenue Model'!E16+'Revenue Model'!E29)+('Revenue Model'!E17+'Revenue Model'!E30))/('Revenue Model'!E14+'Revenue Model'!E27))^12,"n/a")</f>
        <v>0.98909940754649461</v>
      </c>
      <c r="F64" s="70">
        <f>IFERROR(((('Revenue Model'!F14+'Revenue Model'!F27)+('Revenue Model'!F16+'Revenue Model'!F29)+('Revenue Model'!F17+'Revenue Model'!F30))/('Revenue Model'!F14+'Revenue Model'!F27))^12,"n/a")</f>
        <v>0.98943449141518058</v>
      </c>
      <c r="G64" s="70">
        <f>IFERROR(((('Revenue Model'!G14+'Revenue Model'!G27)+('Revenue Model'!G16+'Revenue Model'!G29)+('Revenue Model'!G17+'Revenue Model'!G30))/('Revenue Model'!G14+'Revenue Model'!G27))^12,"n/a")</f>
        <v>0.98975848214802686</v>
      </c>
      <c r="H64" s="70">
        <f>IFERROR(((('Revenue Model'!H14+'Revenue Model'!H27)+('Revenue Model'!H16+'Revenue Model'!H29)+('Revenue Model'!H17+'Revenue Model'!H30))/('Revenue Model'!H14+'Revenue Model'!H27))^12,"n/a")</f>
        <v>0.99007308717480402</v>
      </c>
      <c r="I64" s="70">
        <f>IFERROR(((('Revenue Model'!I14+'Revenue Model'!I27)+('Revenue Model'!I16+'Revenue Model'!I29)+('Revenue Model'!I17+'Revenue Model'!I30))/('Revenue Model'!I14+'Revenue Model'!I27))^12,"n/a")</f>
        <v>0.99037966361294127</v>
      </c>
      <c r="J64" s="70">
        <f>IFERROR(((('Revenue Model'!J14+'Revenue Model'!J27)+('Revenue Model'!J16+'Revenue Model'!J29)+('Revenue Model'!J17+'Revenue Model'!J30))/('Revenue Model'!J14+'Revenue Model'!J27))^12,"n/a")</f>
        <v>0.99067930356109779</v>
      </c>
      <c r="K64" s="70">
        <f>IFERROR(((('Revenue Model'!K14+'Revenue Model'!K27)+('Revenue Model'!K16+'Revenue Model'!K29)+('Revenue Model'!K17+'Revenue Model'!K30))/('Revenue Model'!K14+'Revenue Model'!K27))^12,"n/a")</f>
        <v>0.99097289563323054</v>
      </c>
      <c r="L64" s="70">
        <f>IFERROR(((('Revenue Model'!L14+'Revenue Model'!L27)+('Revenue Model'!L16+'Revenue Model'!L29)+('Revenue Model'!L17+'Revenue Model'!L30))/('Revenue Model'!L14+'Revenue Model'!L27))^12,"n/a")</f>
        <v>0.99126117011208381</v>
      </c>
      <c r="M64" s="70">
        <f>IFERROR(((('Revenue Model'!M14+'Revenue Model'!M27)+('Revenue Model'!M16+'Revenue Model'!M29)+('Revenue Model'!M17+'Revenue Model'!M30))/('Revenue Model'!M14+'Revenue Model'!M27))^12,"n/a")</f>
        <v>0.99154473259335318</v>
      </c>
      <c r="N64" s="70">
        <f>IFERROR(((('Revenue Model'!N14+'Revenue Model'!N27)+('Revenue Model'!N16+'Revenue Model'!N29)+('Revenue Model'!N17+'Revenue Model'!N30))/('Revenue Model'!N14+'Revenue Model'!N27))^12,"n/a")</f>
        <v>0.99182408940356537</v>
      </c>
      <c r="O64" s="70">
        <f>IFERROR(((('Revenue Model'!O14+'Revenue Model'!O27)+('Revenue Model'!O16+'Revenue Model'!O29)+('Revenue Model'!O17+'Revenue Model'!O30))/('Revenue Model'!O14+'Revenue Model'!O27))^12,"n/a")</f>
        <v>0.99209966704648422</v>
      </c>
      <c r="P64" s="70">
        <f>IFERROR(((('Revenue Model'!P14+'Revenue Model'!P27)+('Revenue Model'!P16+'Revenue Model'!P29)+('Revenue Model'!P17+'Revenue Model'!P30))/('Revenue Model'!P14+'Revenue Model'!P27))^12,"n/a")</f>
        <v>0.99237182725299389</v>
      </c>
      <c r="Q64" s="70">
        <f>IFERROR(((('Revenue Model'!Q14+'Revenue Model'!Q27)+('Revenue Model'!Q16+'Revenue Model'!Q29)+('Revenue Model'!Q17+'Revenue Model'!Q30))/('Revenue Model'!Q14+'Revenue Model'!Q27))^12,"n/a")</f>
        <v>0.9926408787520552</v>
      </c>
      <c r="R64" s="70">
        <f>IFERROR(((('Revenue Model'!R14+'Revenue Model'!R27)+('Revenue Model'!R16+'Revenue Model'!R29)+('Revenue Model'!R17+'Revenue Model'!R30))/('Revenue Model'!R14+'Revenue Model'!R27))^12,"n/a")</f>
        <v>0.99290708656690785</v>
      </c>
      <c r="S64" s="70">
        <f>IFERROR(((('Revenue Model'!S14+'Revenue Model'!S27)+('Revenue Model'!S16+'Revenue Model'!S29)+('Revenue Model'!S17+'Revenue Model'!S30))/('Revenue Model'!S14+'Revenue Model'!S27))^12,"n/a")</f>
        <v>0.99317067942303161</v>
      </c>
      <c r="T64" s="70">
        <f>IFERROR(((('Revenue Model'!T14+'Revenue Model'!T27)+('Revenue Model'!T16+'Revenue Model'!T29)+('Revenue Model'!T17+'Revenue Model'!T30))/('Revenue Model'!T14+'Revenue Model'!T27))^12,"n/a")</f>
        <v>0.99343185570062453</v>
      </c>
      <c r="U64" s="70">
        <f>IFERROR(((('Revenue Model'!U14+'Revenue Model'!U27)+('Revenue Model'!U16+'Revenue Model'!U29)+('Revenue Model'!U17+'Revenue Model'!U30))/('Revenue Model'!U14+'Revenue Model'!U27))^12,"n/a")</f>
        <v>0.99369078825464485</v>
      </c>
      <c r="V64" s="70">
        <f>IFERROR(((('Revenue Model'!V14+'Revenue Model'!V27)+('Revenue Model'!V16+'Revenue Model'!V29)+('Revenue Model'!V17+'Revenue Model'!V30))/('Revenue Model'!V14+'Revenue Model'!V27))^12,"n/a")</f>
        <v>0.9939476283460571</v>
      </c>
      <c r="W64" s="70">
        <f>IFERROR(((('Revenue Model'!W14+'Revenue Model'!W27)+('Revenue Model'!W16+'Revenue Model'!W29)+('Revenue Model'!W17+'Revenue Model'!W30))/('Revenue Model'!W14+'Revenue Model'!W27))^12,"n/a")</f>
        <v>0.99420250886975825</v>
      </c>
      <c r="X64" s="70">
        <f>IFERROR(((('Revenue Model'!X14+'Revenue Model'!X27)+('Revenue Model'!X16+'Revenue Model'!X29)+('Revenue Model'!X17+'Revenue Model'!X30))/('Revenue Model'!X14+'Revenue Model'!X27))^12,"n/a")</f>
        <v>0.99445554702170957</v>
      </c>
      <c r="Y64" s="70">
        <f>IFERROR(((('Revenue Model'!Y14+'Revenue Model'!Y27)+('Revenue Model'!Y16+'Revenue Model'!Y29)+('Revenue Model'!Y17+'Revenue Model'!Y30))/('Revenue Model'!Y14+'Revenue Model'!Y27))^12,"n/a")</f>
        <v>0.9947068465157749</v>
      </c>
      <c r="Z64" s="70">
        <f>IFERROR(((('Revenue Model'!Z14+'Revenue Model'!Z27)+('Revenue Model'!Z16+'Revenue Model'!Z29)+('Revenue Model'!Z17+'Revenue Model'!Z30))/('Revenue Model'!Z14+'Revenue Model'!Z27))^12,"n/a")</f>
        <v>0.99495649943648079</v>
      </c>
      <c r="AA64" s="70">
        <f>IFERROR(((('Revenue Model'!AA14+'Revenue Model'!AA27)+('Revenue Model'!AA16+'Revenue Model'!AA29)+('Revenue Model'!AA17+'Revenue Model'!AA30))/('Revenue Model'!AA14+'Revenue Model'!AA27))^12,"n/a")</f>
        <v>0.99520458779561471</v>
      </c>
      <c r="AB64" s="70">
        <f>IFERROR(((('Revenue Model'!AB14+'Revenue Model'!AB27)+('Revenue Model'!AB16+'Revenue Model'!AB29)+('Revenue Model'!AB17+'Revenue Model'!AB30))/('Revenue Model'!AB14+'Revenue Model'!AB27))^12,"n/a")</f>
        <v>0.9954511848464529</v>
      </c>
      <c r="AC64" s="70">
        <f>IFERROR(((('Revenue Model'!AC14+'Revenue Model'!AC27)+('Revenue Model'!AC16+'Revenue Model'!AC29)+('Revenue Model'!AC17+'Revenue Model'!AC30))/('Revenue Model'!AC14+'Revenue Model'!AC27))^12,"n/a")</f>
        <v>0.99569635619850061</v>
      </c>
      <c r="AD64" s="70">
        <f>IFERROR(((('Revenue Model'!AD14+'Revenue Model'!AD27)+('Revenue Model'!AD16+'Revenue Model'!AD29)+('Revenue Model'!AD17+'Revenue Model'!AD30))/('Revenue Model'!AD14+'Revenue Model'!AD27))^12,"n/a")</f>
        <v>0.99594016076722869</v>
      </c>
      <c r="AE64" s="70">
        <f>IFERROR(((('Revenue Model'!AE14+'Revenue Model'!AE27)+('Revenue Model'!AE16+'Revenue Model'!AE29)+('Revenue Model'!AE17+'Revenue Model'!AE30))/('Revenue Model'!AE14+'Revenue Model'!AE27))^12,"n/a")</f>
        <v>0.99618265158658004</v>
      </c>
      <c r="AF64" s="70">
        <f>IFERROR(((('Revenue Model'!AF14+'Revenue Model'!AF27)+('Revenue Model'!AF16+'Revenue Model'!AF29)+('Revenue Model'!AF17+'Revenue Model'!AF30))/('Revenue Model'!AF14+'Revenue Model'!AF27))^12,"n/a")</f>
        <v>0.99642387650683717</v>
      </c>
      <c r="AG64" s="70">
        <f>IFERROR(((('Revenue Model'!AG14+'Revenue Model'!AG27)+('Revenue Model'!AG16+'Revenue Model'!AG29)+('Revenue Model'!AG17+'Revenue Model'!AG30))/('Revenue Model'!AG14+'Revenue Model'!AG27))^12,"n/a")</f>
        <v>0.99666387879627594</v>
      </c>
      <c r="AH64" s="70">
        <f>IFERROR(((('Revenue Model'!AH14+'Revenue Model'!AH27)+('Revenue Model'!AH16+'Revenue Model'!AH29)+('Revenue Model'!AH17+'Revenue Model'!AH30))/('Revenue Model'!AH14+'Revenue Model'!AH27))^12,"n/a")</f>
        <v>0.99690269766173567</v>
      </c>
      <c r="AI64" s="70">
        <f>IFERROR(((('Revenue Model'!AI14+'Revenue Model'!AI27)+('Revenue Model'!AI16+'Revenue Model'!AI29)+('Revenue Model'!AI17+'Revenue Model'!AI30))/('Revenue Model'!AI14+'Revenue Model'!AI27))^12,"n/a")</f>
        <v>0.99714036870057077</v>
      </c>
      <c r="AJ64" s="70">
        <f>IFERROR(((('Revenue Model'!AJ14+'Revenue Model'!AJ27)+('Revenue Model'!AJ16+'Revenue Model'!AJ29)+('Revenue Model'!AJ17+'Revenue Model'!AJ30))/('Revenue Model'!AJ14+'Revenue Model'!AJ27))^12,"n/a")</f>
        <v>0.99737692429427216</v>
      </c>
      <c r="AK64" s="70">
        <f>IFERROR(((('Revenue Model'!AK14+'Revenue Model'!AK27)+('Revenue Model'!AK16+'Revenue Model'!AK29)+('Revenue Model'!AK17+'Revenue Model'!AK30))/('Revenue Model'!AK14+'Revenue Model'!AK27))^12,"n/a")</f>
        <v>0.99761239395239987</v>
      </c>
      <c r="AL64" s="70">
        <f>IFERROR(((('Revenue Model'!AL14+'Revenue Model'!AL27)+('Revenue Model'!AL16+'Revenue Model'!AL29)+('Revenue Model'!AL17+'Revenue Model'!AL30))/('Revenue Model'!AL14+'Revenue Model'!AL27))^12,"n/a")</f>
        <v>0.99784680461393849</v>
      </c>
    </row>
    <row r="65" spans="1:42" x14ac:dyDescent="0.35">
      <c r="A65" s="33" t="s">
        <v>345</v>
      </c>
      <c r="B65" s="34" t="s">
        <v>114</v>
      </c>
      <c r="C65" s="70">
        <f>IFERROR(((('Revenue Model'!C14+'Revenue Model'!C27)+('Revenue Model'!C17+'Revenue Model'!C30))/('Revenue Model'!C14+'Revenue Model'!C27))^12,"n/a")</f>
        <v>0.8840646203290442</v>
      </c>
      <c r="D65" s="70">
        <f>IFERROR(((('Revenue Model'!D14+'Revenue Model'!D27)+('Revenue Model'!D17+'Revenue Model'!D30))/('Revenue Model'!D14+'Revenue Model'!D27))^12,"n/a")</f>
        <v>0.88424177501867618</v>
      </c>
      <c r="E65" s="70">
        <f>IFERROR(((('Revenue Model'!E14+'Revenue Model'!E27)+('Revenue Model'!E17+'Revenue Model'!E30))/('Revenue Model'!E14+'Revenue Model'!E27))^12,"n/a")</f>
        <v>0.88441108091692999</v>
      </c>
      <c r="F65" s="70">
        <f>IFERROR(((('Revenue Model'!F14+'Revenue Model'!F27)+('Revenue Model'!F17+'Revenue Model'!F30))/('Revenue Model'!F14+'Revenue Model'!F27))^12,"n/a")</f>
        <v>0.88457391318671696</v>
      </c>
      <c r="G65" s="70">
        <f>IFERROR(((('Revenue Model'!G14+'Revenue Model'!G27)+('Revenue Model'!G17+'Revenue Model'!G30))/('Revenue Model'!G14+'Revenue Model'!G27))^12,"n/a")</f>
        <v>0.88473133286396477</v>
      </c>
      <c r="H65" s="70">
        <f>IFERROR(((('Revenue Model'!H14+'Revenue Model'!H27)+('Revenue Model'!H17+'Revenue Model'!H30))/('Revenue Model'!H14+'Revenue Model'!H27))^12,"n/a")</f>
        <v>0.88488417160842914</v>
      </c>
      <c r="I65" s="70">
        <f>IFERROR(((('Revenue Model'!I14+'Revenue Model'!I27)+('Revenue Model'!I17+'Revenue Model'!I30))/('Revenue Model'!I14+'Revenue Model'!I27))^12,"n/a")</f>
        <v>0.88503309042289446</v>
      </c>
      <c r="J65" s="70">
        <f>IFERROR(((('Revenue Model'!J14+'Revenue Model'!J27)+('Revenue Model'!J17+'Revenue Model'!J30))/('Revenue Model'!J14+'Revenue Model'!J27))^12,"n/a")</f>
        <v>0.88517862121486068</v>
      </c>
      <c r="K65" s="70">
        <f>IFERROR(((('Revenue Model'!K14+'Revenue Model'!K27)+('Revenue Model'!K17+'Revenue Model'!K30))/('Revenue Model'!K14+'Revenue Model'!K27))^12,"n/a")</f>
        <v>0.88532119677799748</v>
      </c>
      <c r="L65" s="70">
        <f>IFERROR(((('Revenue Model'!L14+'Revenue Model'!L27)+('Revenue Model'!L17+'Revenue Model'!L30))/('Revenue Model'!L14+'Revenue Model'!L27))^12,"n/a")</f>
        <v>0.88546117279064251</v>
      </c>
      <c r="M65" s="70">
        <f>IFERROR(((('Revenue Model'!M14+'Revenue Model'!M27)+('Revenue Model'!M17+'Revenue Model'!M30))/('Revenue Model'!M14+'Revenue Model'!M27))^12,"n/a")</f>
        <v>0.88559884420581625</v>
      </c>
      <c r="N65" s="70">
        <f>IFERROR(((('Revenue Model'!N14+'Revenue Model'!N27)+('Revenue Model'!N17+'Revenue Model'!N30))/('Revenue Model'!N14+'Revenue Model'!N27))^12,"n/a")</f>
        <v>0.8857344576329006</v>
      </c>
      <c r="O65" s="70">
        <f>IFERROR(((('Revenue Model'!O14+'Revenue Model'!O27)+('Revenue Model'!O17+'Revenue Model'!O30))/('Revenue Model'!O14+'Revenue Model'!O27))^12,"n/a")</f>
        <v>0.88586822080988836</v>
      </c>
      <c r="P65" s="70">
        <f>IFERROR(((('Revenue Model'!P14+'Revenue Model'!P27)+('Revenue Model'!P17+'Revenue Model'!P30))/('Revenue Model'!P14+'Revenue Model'!P27))^12,"n/a")</f>
        <v>0.88600030993369738</v>
      </c>
      <c r="Q65" s="70">
        <f>IFERROR(((('Revenue Model'!Q14+'Revenue Model'!Q27)+('Revenue Model'!Q17+'Revenue Model'!Q30))/('Revenue Model'!Q14+'Revenue Model'!Q27))^12,"n/a")</f>
        <v>0.88613087539311974</v>
      </c>
      <c r="R65" s="70">
        <f>IFERROR(((('Revenue Model'!R14+'Revenue Model'!R27)+('Revenue Model'!R17+'Revenue Model'!R30))/('Revenue Model'!R14+'Revenue Model'!R27))^12,"n/a")</f>
        <v>0.88626004629624711</v>
      </c>
      <c r="S65" s="70">
        <f>IFERROR(((('Revenue Model'!S14+'Revenue Model'!S27)+('Revenue Model'!S17+'Revenue Model'!S30))/('Revenue Model'!S14+'Revenue Model'!S27))^12,"n/a")</f>
        <v>0.88638793407813121</v>
      </c>
      <c r="T65" s="70">
        <f>IFERROR(((('Revenue Model'!T14+'Revenue Model'!T27)+('Revenue Model'!T17+'Revenue Model'!T30))/('Revenue Model'!T14+'Revenue Model'!T27))^12,"n/a")</f>
        <v>0.8865146353994976</v>
      </c>
      <c r="U65" s="70">
        <f>IFERROR(((('Revenue Model'!U14+'Revenue Model'!U27)+('Revenue Model'!U17+'Revenue Model'!U30))/('Revenue Model'!U14+'Revenue Model'!U27))^12,"n/a")</f>
        <v>0.88664023449390861</v>
      </c>
      <c r="V65" s="70">
        <f>IFERROR(((('Revenue Model'!V14+'Revenue Model'!V27)+('Revenue Model'!V17+'Revenue Model'!V30))/('Revenue Model'!V14+'Revenue Model'!V27))^12,"n/a")</f>
        <v>0.88676480508203526</v>
      </c>
      <c r="W65" s="70">
        <f>IFERROR(((('Revenue Model'!W14+'Revenue Model'!W27)+('Revenue Model'!W17+'Revenue Model'!W30))/('Revenue Model'!W14+'Revenue Model'!W27))^12,"n/a")</f>
        <v>0.88688841194341683</v>
      </c>
      <c r="X65" s="70">
        <f>IFERROR(((('Revenue Model'!X14+'Revenue Model'!X27)+('Revenue Model'!X17+'Revenue Model'!X30))/('Revenue Model'!X14+'Revenue Model'!X27))^12,"n/a")</f>
        <v>0.88701111221509588</v>
      </c>
      <c r="Y65" s="70">
        <f>IFERROR(((('Revenue Model'!Y14+'Revenue Model'!Y27)+('Revenue Model'!Y17+'Revenue Model'!Y30))/('Revenue Model'!Y14+'Revenue Model'!Y27))^12,"n/a")</f>
        <v>0.88713295647098955</v>
      </c>
      <c r="Z65" s="70">
        <f>IFERROR(((('Revenue Model'!Z14+'Revenue Model'!Z27)+('Revenue Model'!Z17+'Revenue Model'!Z30))/('Revenue Model'!Z14+'Revenue Model'!Z27))^12,"n/a")</f>
        <v>0.88725398962394109</v>
      </c>
      <c r="AA65" s="70">
        <f>IFERROR(((('Revenue Model'!AA14+'Revenue Model'!AA27)+('Revenue Model'!AA17+'Revenue Model'!AA30))/('Revenue Model'!AA14+'Revenue Model'!AA27))^12,"n/a")</f>
        <v>0.88737425168358153</v>
      </c>
      <c r="AB65" s="70">
        <f>IFERROR(((('Revenue Model'!AB14+'Revenue Model'!AB27)+('Revenue Model'!AB17+'Revenue Model'!AB30))/('Revenue Model'!AB14+'Revenue Model'!AB27))^12,"n/a")</f>
        <v>0.88749377839615229</v>
      </c>
      <c r="AC65" s="70">
        <f>IFERROR(((('Revenue Model'!AC14+'Revenue Model'!AC27)+('Revenue Model'!AC17+'Revenue Model'!AC30))/('Revenue Model'!AC14+'Revenue Model'!AC27))^12,"n/a")</f>
        <v>0.88761260178720625</v>
      </c>
      <c r="AD65" s="70">
        <f>IFERROR(((('Revenue Model'!AD14+'Revenue Model'!AD27)+('Revenue Model'!AD17+'Revenue Model'!AD30))/('Revenue Model'!AD14+'Revenue Model'!AD27))^12,"n/a")</f>
        <v>0.88773075062395668</v>
      </c>
      <c r="AE65" s="70">
        <f>IFERROR(((('Revenue Model'!AE14+'Revenue Model'!AE27)+('Revenue Model'!AE17+'Revenue Model'!AE30))/('Revenue Model'!AE14+'Revenue Model'!AE27))^12,"n/a")</f>
        <v>0.88784825081081131</v>
      </c>
      <c r="AF65" s="70">
        <f>IFERROR(((('Revenue Model'!AF14+'Revenue Model'!AF27)+('Revenue Model'!AF17+'Revenue Model'!AF30))/('Revenue Model'!AF14+'Revenue Model'!AF27))^12,"n/a")</f>
        <v>0.88796512572909869</v>
      </c>
      <c r="AG65" s="70">
        <f>IFERROR(((('Revenue Model'!AG14+'Revenue Model'!AG27)+('Revenue Model'!AG17+'Revenue Model'!AG30))/('Revenue Model'!AG14+'Revenue Model'!AG27))^12,"n/a")</f>
        <v>0.88808139652994211</v>
      </c>
      <c r="AH65" s="70">
        <f>IFERROR(((('Revenue Model'!AH14+'Revenue Model'!AH27)+('Revenue Model'!AH17+'Revenue Model'!AH30))/('Revenue Model'!AH14+'Revenue Model'!AH27))^12,"n/a")</f>
        <v>0.88819708238765493</v>
      </c>
      <c r="AI65" s="70">
        <f>IFERROR(((('Revenue Model'!AI14+'Revenue Model'!AI27)+('Revenue Model'!AI17+'Revenue Model'!AI30))/('Revenue Model'!AI14+'Revenue Model'!AI27))^12,"n/a")</f>
        <v>0.8883122007197366</v>
      </c>
      <c r="AJ65" s="70">
        <f>IFERROR(((('Revenue Model'!AJ14+'Revenue Model'!AJ27)+('Revenue Model'!AJ17+'Revenue Model'!AJ30))/('Revenue Model'!AJ14+'Revenue Model'!AJ27))^12,"n/a")</f>
        <v>0.88842676737846593</v>
      </c>
      <c r="AK65" s="70">
        <f>IFERROR(((('Revenue Model'!AK14+'Revenue Model'!AK27)+('Revenue Model'!AK17+'Revenue Model'!AK30))/('Revenue Model'!AK14+'Revenue Model'!AK27))^12,"n/a")</f>
        <v>0.88854079681830089</v>
      </c>
      <c r="AL65" s="70">
        <f>IFERROR(((('Revenue Model'!AL14+'Revenue Model'!AL27)+('Revenue Model'!AL17+'Revenue Model'!AL30))/('Revenue Model'!AL14+'Revenue Model'!AL27))^12,"n/a")</f>
        <v>0.88865430224256592</v>
      </c>
    </row>
    <row r="66" spans="1:42" x14ac:dyDescent="0.35">
      <c r="A66" s="33" t="s">
        <v>201</v>
      </c>
      <c r="B66" s="34" t="s">
        <v>101</v>
      </c>
      <c r="C66" s="56">
        <f>'Revenue Model'!C9+'Revenue Model'!C22</f>
        <v>17</v>
      </c>
      <c r="D66" s="56">
        <f>'Revenue Model'!D9+'Revenue Model'!D22</f>
        <v>17</v>
      </c>
      <c r="E66" s="56">
        <f>'Revenue Model'!E9+'Revenue Model'!E22</f>
        <v>17</v>
      </c>
      <c r="F66" s="56">
        <f>'Revenue Model'!F9+'Revenue Model'!F22</f>
        <v>17</v>
      </c>
      <c r="G66" s="56">
        <f>'Revenue Model'!G9+'Revenue Model'!G22</f>
        <v>17</v>
      </c>
      <c r="H66" s="56">
        <f>'Revenue Model'!H9+'Revenue Model'!H22</f>
        <v>17</v>
      </c>
      <c r="I66" s="56">
        <f>'Revenue Model'!I9+'Revenue Model'!I22</f>
        <v>17</v>
      </c>
      <c r="J66" s="56">
        <f>'Revenue Model'!J9+'Revenue Model'!J22</f>
        <v>17</v>
      </c>
      <c r="K66" s="56">
        <f>'Revenue Model'!K9+'Revenue Model'!K22</f>
        <v>17</v>
      </c>
      <c r="L66" s="56">
        <f>'Revenue Model'!L9+'Revenue Model'!L22</f>
        <v>17</v>
      </c>
      <c r="M66" s="56">
        <f>'Revenue Model'!M9+'Revenue Model'!M22</f>
        <v>17</v>
      </c>
      <c r="N66" s="56">
        <f>'Revenue Model'!N9+'Revenue Model'!N22</f>
        <v>17</v>
      </c>
      <c r="O66" s="56">
        <f>'Revenue Model'!O9+'Revenue Model'!O22</f>
        <v>17</v>
      </c>
      <c r="P66" s="56">
        <f>'Revenue Model'!P9+'Revenue Model'!P22</f>
        <v>17</v>
      </c>
      <c r="Q66" s="56">
        <f>'Revenue Model'!Q9+'Revenue Model'!Q22</f>
        <v>17</v>
      </c>
      <c r="R66" s="56">
        <f>'Revenue Model'!R9+'Revenue Model'!R22</f>
        <v>17</v>
      </c>
      <c r="S66" s="56">
        <f>'Revenue Model'!S9+'Revenue Model'!S22</f>
        <v>17</v>
      </c>
      <c r="T66" s="56">
        <f>'Revenue Model'!T9+'Revenue Model'!T22</f>
        <v>17</v>
      </c>
      <c r="U66" s="56">
        <f>'Revenue Model'!U9+'Revenue Model'!U22</f>
        <v>17</v>
      </c>
      <c r="V66" s="56">
        <f>'Revenue Model'!V9+'Revenue Model'!V22</f>
        <v>17</v>
      </c>
      <c r="W66" s="56">
        <f>'Revenue Model'!W9+'Revenue Model'!W22</f>
        <v>17</v>
      </c>
      <c r="X66" s="56">
        <f>'Revenue Model'!X9+'Revenue Model'!X22</f>
        <v>17</v>
      </c>
      <c r="Y66" s="56">
        <f>'Revenue Model'!Y9+'Revenue Model'!Y22</f>
        <v>17</v>
      </c>
      <c r="Z66" s="56">
        <f>'Revenue Model'!Z9+'Revenue Model'!Z22</f>
        <v>17</v>
      </c>
      <c r="AA66" s="56">
        <f>'Revenue Model'!AA9+'Revenue Model'!AA22</f>
        <v>17</v>
      </c>
      <c r="AB66" s="56">
        <f>'Revenue Model'!AB9+'Revenue Model'!AB22</f>
        <v>17</v>
      </c>
      <c r="AC66" s="56">
        <f>'Revenue Model'!AC9+'Revenue Model'!AC22</f>
        <v>17</v>
      </c>
      <c r="AD66" s="56">
        <f>'Revenue Model'!AD9+'Revenue Model'!AD22</f>
        <v>17</v>
      </c>
      <c r="AE66" s="56">
        <f>'Revenue Model'!AE9+'Revenue Model'!AE22</f>
        <v>17</v>
      </c>
      <c r="AF66" s="56">
        <f>'Revenue Model'!AF9+'Revenue Model'!AF22</f>
        <v>17</v>
      </c>
      <c r="AG66" s="56">
        <f>'Revenue Model'!AG9+'Revenue Model'!AG22</f>
        <v>17</v>
      </c>
      <c r="AH66" s="56">
        <f>'Revenue Model'!AH9+'Revenue Model'!AH22</f>
        <v>17</v>
      </c>
      <c r="AI66" s="56">
        <f>'Revenue Model'!AI9+'Revenue Model'!AI22</f>
        <v>17</v>
      </c>
      <c r="AJ66" s="56">
        <f>'Revenue Model'!AJ9+'Revenue Model'!AJ22</f>
        <v>17</v>
      </c>
      <c r="AK66" s="56">
        <f>'Revenue Model'!AK9+'Revenue Model'!AK22</f>
        <v>17</v>
      </c>
      <c r="AL66" s="56">
        <f>'Revenue Model'!AL9+'Revenue Model'!AL22</f>
        <v>17</v>
      </c>
    </row>
    <row r="67" spans="1:42" x14ac:dyDescent="0.35">
      <c r="A67" s="33" t="s">
        <v>346</v>
      </c>
      <c r="B67" s="34" t="s">
        <v>144</v>
      </c>
      <c r="C67" s="67">
        <f>'Income Statement'!C12</f>
        <v>320096.48616666667</v>
      </c>
      <c r="D67" s="67">
        <f>'Income Statement'!D12</f>
        <v>324633.52433333342</v>
      </c>
      <c r="E67" s="67">
        <f>'Income Statement'!E12</f>
        <v>329170.56250000006</v>
      </c>
      <c r="F67" s="67">
        <f>'Income Statement'!F12</f>
        <v>333707.60066666669</v>
      </c>
      <c r="G67" s="67">
        <f>'Income Statement'!G12</f>
        <v>338244.63883333333</v>
      </c>
      <c r="H67" s="67">
        <f>'Income Statement'!H12</f>
        <v>342781.67699999997</v>
      </c>
      <c r="I67" s="67">
        <f>'Income Statement'!I12</f>
        <v>347318.71516666666</v>
      </c>
      <c r="J67" s="67">
        <f>'Income Statement'!J12</f>
        <v>351855.75333333341</v>
      </c>
      <c r="K67" s="67">
        <f>'Income Statement'!K12</f>
        <v>356392.79150000005</v>
      </c>
      <c r="L67" s="67">
        <f>'Income Statement'!L12</f>
        <v>360929.82966666669</v>
      </c>
      <c r="M67" s="67">
        <f>'Income Statement'!M12</f>
        <v>365466.86783333332</v>
      </c>
      <c r="N67" s="67">
        <f>'Income Statement'!N12</f>
        <v>370003.90600000002</v>
      </c>
      <c r="O67" s="67">
        <f>'Income Statement'!O12</f>
        <v>413690.52721333335</v>
      </c>
      <c r="P67" s="67">
        <f>'Income Statement'!P12</f>
        <v>418726.99218666664</v>
      </c>
      <c r="Q67" s="67">
        <f>'Income Statement'!Q12</f>
        <v>423763.45715999999</v>
      </c>
      <c r="R67" s="67">
        <f>'Income Statement'!R12</f>
        <v>428799.9221333334</v>
      </c>
      <c r="S67" s="67">
        <f>'Income Statement'!S12</f>
        <v>433836.38710666669</v>
      </c>
      <c r="T67" s="67">
        <f>'Income Statement'!T12</f>
        <v>438872.85208000004</v>
      </c>
      <c r="U67" s="67">
        <f>'Income Statement'!U12</f>
        <v>443909.31705333333</v>
      </c>
      <c r="V67" s="67">
        <f>'Income Statement'!V12</f>
        <v>448945.78202666662</v>
      </c>
      <c r="W67" s="67">
        <f>'Income Statement'!W12</f>
        <v>453982.24700000003</v>
      </c>
      <c r="X67" s="67">
        <f>'Income Statement'!X12</f>
        <v>459018.71197333332</v>
      </c>
      <c r="Y67" s="67">
        <f>'Income Statement'!Y12</f>
        <v>464055.17694666662</v>
      </c>
      <c r="Z67" s="67">
        <f>'Income Statement'!Z12</f>
        <v>469091.64191999997</v>
      </c>
      <c r="AA67" s="67">
        <f>'Income Statement'!AA12</f>
        <v>521697.73116906668</v>
      </c>
      <c r="AB67" s="67">
        <f>'Income Statement'!AB12</f>
        <v>526932.15474133333</v>
      </c>
      <c r="AC67" s="67">
        <f>'Income Statement'!AC12</f>
        <v>532166.57831360004</v>
      </c>
      <c r="AD67" s="67">
        <f>'Income Statement'!AD12</f>
        <v>537401.00188586675</v>
      </c>
      <c r="AE67" s="67">
        <f>'Income Statement'!AE12</f>
        <v>542635.42545813345</v>
      </c>
      <c r="AF67" s="67">
        <f>'Income Statement'!AF12</f>
        <v>547869.84903039993</v>
      </c>
      <c r="AG67" s="67">
        <f>'Income Statement'!AG12</f>
        <v>553104.27260266664</v>
      </c>
      <c r="AH67" s="67">
        <f>'Income Statement'!AH12</f>
        <v>558338.69617493334</v>
      </c>
      <c r="AI67" s="67">
        <f>'Income Statement'!AI12</f>
        <v>563573.11974720005</v>
      </c>
      <c r="AJ67" s="67">
        <f>'Income Statement'!AJ12</f>
        <v>568807.54331946676</v>
      </c>
      <c r="AK67" s="67">
        <f>'Income Statement'!AK12</f>
        <v>574041.96689173346</v>
      </c>
      <c r="AL67" s="67">
        <f>'Income Statement'!AL12</f>
        <v>579276.39046400005</v>
      </c>
      <c r="AN67" s="58">
        <f>SUM(C67:N67)</f>
        <v>4140602.3529999997</v>
      </c>
      <c r="AO67" s="58">
        <f>SUM(O67:Z67)</f>
        <v>5296693.0148000009</v>
      </c>
      <c r="AP67" s="58">
        <f>SUM(AA67:AL67)</f>
        <v>6605844.7297984008</v>
      </c>
    </row>
    <row r="68" spans="1:42" x14ac:dyDescent="0.35">
      <c r="A68" s="33" t="s">
        <v>347</v>
      </c>
      <c r="B68" s="34" t="s">
        <v>144</v>
      </c>
      <c r="C68" s="78">
        <f>IFERROR(SUM($C67:C67)/SUM($C66:C66),"n/a")</f>
        <v>18829.205068627452</v>
      </c>
      <c r="D68" s="78">
        <f>IFERROR(SUM($C67:D67)/SUM($C66:D66),"n/a")</f>
        <v>18962.647367647063</v>
      </c>
      <c r="E68" s="78">
        <f t="shared" ref="E68:AL68" si="3">IFERROR(SUM(C67:E67)/SUM(C66:E66),"n/a")</f>
        <v>19096.089666666667</v>
      </c>
      <c r="F68" s="78">
        <f t="shared" si="3"/>
        <v>19362.974264705888</v>
      </c>
      <c r="G68" s="78">
        <f t="shared" si="3"/>
        <v>19629.858862745099</v>
      </c>
      <c r="H68" s="78">
        <f t="shared" si="3"/>
        <v>19896.743460784313</v>
      </c>
      <c r="I68" s="78">
        <f t="shared" si="3"/>
        <v>20163.628058823528</v>
      </c>
      <c r="J68" s="78">
        <f t="shared" si="3"/>
        <v>20430.512656862746</v>
      </c>
      <c r="K68" s="78">
        <f t="shared" si="3"/>
        <v>20697.397254901967</v>
      </c>
      <c r="L68" s="78">
        <f t="shared" si="3"/>
        <v>20964.281852941178</v>
      </c>
      <c r="M68" s="78">
        <f t="shared" si="3"/>
        <v>21231.166450980392</v>
      </c>
      <c r="N68" s="78">
        <f t="shared" si="3"/>
        <v>21498.051049019607</v>
      </c>
      <c r="O68" s="78">
        <f t="shared" si="3"/>
        <v>22532.574530326798</v>
      </c>
      <c r="P68" s="78">
        <f t="shared" si="3"/>
        <v>23576.89069411765</v>
      </c>
      <c r="Q68" s="78">
        <f t="shared" si="3"/>
        <v>24630.999540392153</v>
      </c>
      <c r="R68" s="78">
        <f t="shared" si="3"/>
        <v>24927.262185882359</v>
      </c>
      <c r="S68" s="78">
        <f t="shared" si="3"/>
        <v>25223.52483137255</v>
      </c>
      <c r="T68" s="78">
        <f t="shared" si="3"/>
        <v>25519.787476862748</v>
      </c>
      <c r="U68" s="78">
        <f t="shared" si="3"/>
        <v>25816.050122352943</v>
      </c>
      <c r="V68" s="78">
        <f t="shared" si="3"/>
        <v>26112.312767843137</v>
      </c>
      <c r="W68" s="78">
        <f t="shared" si="3"/>
        <v>26408.575413333336</v>
      </c>
      <c r="X68" s="78">
        <f t="shared" si="3"/>
        <v>26704.838058823527</v>
      </c>
      <c r="Y68" s="78">
        <f t="shared" si="3"/>
        <v>27001.100704313725</v>
      </c>
      <c r="Z68" s="78">
        <f t="shared" si="3"/>
        <v>27297.36334980392</v>
      </c>
      <c r="AA68" s="78">
        <f t="shared" si="3"/>
        <v>28526.363726190848</v>
      </c>
      <c r="AB68" s="78">
        <f t="shared" si="3"/>
        <v>29759.245643733335</v>
      </c>
      <c r="AC68" s="78">
        <f t="shared" si="3"/>
        <v>30996.009102431373</v>
      </c>
      <c r="AD68" s="78">
        <f t="shared" si="3"/>
        <v>31303.916371388237</v>
      </c>
      <c r="AE68" s="78">
        <f t="shared" si="3"/>
        <v>31611.823640345101</v>
      </c>
      <c r="AF68" s="78">
        <f t="shared" si="3"/>
        <v>31919.730909301965</v>
      </c>
      <c r="AG68" s="78">
        <f t="shared" si="3"/>
        <v>32227.638178258825</v>
      </c>
      <c r="AH68" s="78">
        <f t="shared" si="3"/>
        <v>32535.545447215685</v>
      </c>
      <c r="AI68" s="78">
        <f t="shared" si="3"/>
        <v>32843.452716172549</v>
      </c>
      <c r="AJ68" s="78">
        <f t="shared" si="3"/>
        <v>33151.359985129413</v>
      </c>
      <c r="AK68" s="78">
        <f t="shared" si="3"/>
        <v>33459.267254086277</v>
      </c>
      <c r="AL68" s="78">
        <f t="shared" si="3"/>
        <v>33767.174523043148</v>
      </c>
    </row>
    <row r="69" spans="1:42" x14ac:dyDescent="0.35">
      <c r="A69" s="33" t="s">
        <v>348</v>
      </c>
      <c r="B69" s="34" t="s">
        <v>105</v>
      </c>
      <c r="C69" s="78">
        <f>IFERROR(('Revenue Model'!C18+'Revenue Model'!C31)/('Revenue Model'!C11+'Revenue Model'!C24),0)</f>
        <v>1528.9325362937661</v>
      </c>
      <c r="D69" s="78">
        <f>IFERROR(('Revenue Model'!D18+'Revenue Model'!D31)/('Revenue Model'!D11+'Revenue Model'!D24),0)</f>
        <v>1543.8779085479407</v>
      </c>
      <c r="E69" s="78">
        <f>IFERROR(('Revenue Model'!E18+'Revenue Model'!E31)/('Revenue Model'!E11+'Revenue Model'!E24),0)</f>
        <v>1558.5500382821401</v>
      </c>
      <c r="F69" s="78">
        <f>IFERROR(('Revenue Model'!F18+'Revenue Model'!F31)/('Revenue Model'!F11+'Revenue Model'!F24),0)</f>
        <v>1573.009427587252</v>
      </c>
      <c r="G69" s="78">
        <f>IFERROR(('Revenue Model'!G18+'Revenue Model'!G31)/('Revenue Model'!G11+'Revenue Model'!G24),0)</f>
        <v>1587.3039993785715</v>
      </c>
      <c r="H69" s="78">
        <f>IFERROR(('Revenue Model'!H18+'Revenue Model'!H31)/('Revenue Model'!H11+'Revenue Model'!H24),0)</f>
        <v>1601.4722345923676</v>
      </c>
      <c r="I69" s="78">
        <f>IFERROR(('Revenue Model'!I18+'Revenue Model'!I31)/('Revenue Model'!I11+'Revenue Model'!I24),0)</f>
        <v>1615.5454153080573</v>
      </c>
      <c r="J69" s="78">
        <f>IFERROR(('Revenue Model'!J18+'Revenue Model'!J31)/('Revenue Model'!J11+'Revenue Model'!J24),0)</f>
        <v>1629.5492575883463</v>
      </c>
      <c r="K69" s="78">
        <f>IFERROR(('Revenue Model'!K18+'Revenue Model'!K31)/('Revenue Model'!K11+'Revenue Model'!K24),0)</f>
        <v>1643.5051193469722</v>
      </c>
      <c r="L69" s="78">
        <f>IFERROR(('Revenue Model'!L18+'Revenue Model'!L31)/('Revenue Model'!L11+'Revenue Model'!L24),0)</f>
        <v>1657.43090692036</v>
      </c>
      <c r="M69" s="78">
        <f>IFERROR(('Revenue Model'!M18+'Revenue Model'!M31)/('Revenue Model'!M11+'Revenue Model'!M24),0)</f>
        <v>1671.3417645270822</v>
      </c>
      <c r="N69" s="78">
        <f>IFERROR(('Revenue Model'!N18+'Revenue Model'!N31)/('Revenue Model'!N11+'Revenue Model'!N24),0)</f>
        <v>1685.2506049491362</v>
      </c>
      <c r="O69" s="78">
        <f>IFERROR(('Revenue Model'!O18+'Revenue Model'!O31)/('Revenue Model'!O11+'Revenue Model'!O24),0)</f>
        <v>1699.168522518876</v>
      </c>
      <c r="P69" s="78">
        <f>IFERROR(('Revenue Model'!P18+'Revenue Model'!P31)/('Revenue Model'!P11+'Revenue Model'!P24),0)</f>
        <v>1713.105117779445</v>
      </c>
      <c r="Q69" s="78">
        <f>IFERROR(('Revenue Model'!Q18+'Revenue Model'!Q31)/('Revenue Model'!Q11+'Revenue Model'!Q24),0)</f>
        <v>1727.0687550999098</v>
      </c>
      <c r="R69" s="78">
        <f>IFERROR(('Revenue Model'!R18+'Revenue Model'!R31)/('Revenue Model'!R11+'Revenue Model'!R24),0)</f>
        <v>1741.0667688613432</v>
      </c>
      <c r="S69" s="78">
        <f>IFERROR(('Revenue Model'!S18+'Revenue Model'!S31)/('Revenue Model'!S11+'Revenue Model'!S24),0)</f>
        <v>1755.1056298070148</v>
      </c>
      <c r="T69" s="78">
        <f>IFERROR(('Revenue Model'!T18+'Revenue Model'!T31)/('Revenue Model'!T11+'Revenue Model'!T24),0)</f>
        <v>1769.1910802563596</v>
      </c>
      <c r="U69" s="78">
        <f>IFERROR(('Revenue Model'!U18+'Revenue Model'!U31)/('Revenue Model'!U11+'Revenue Model'!U24),0)</f>
        <v>1783.3282447767767</v>
      </c>
      <c r="V69" s="78">
        <f>IFERROR(('Revenue Model'!V18+'Revenue Model'!V31)/('Revenue Model'!V11+'Revenue Model'!V24),0)</f>
        <v>1797.5217213581991</v>
      </c>
      <c r="W69" s="78">
        <f>IFERROR(('Revenue Model'!W18+'Revenue Model'!W31)/('Revenue Model'!W11+'Revenue Model'!W24),0)</f>
        <v>1811.775656983981</v>
      </c>
      <c r="X69" s="78">
        <f>IFERROR(('Revenue Model'!X18+'Revenue Model'!X31)/('Revenue Model'!X11+'Revenue Model'!X24),0)</f>
        <v>1826.0938106277124</v>
      </c>
      <c r="Y69" s="78">
        <f>IFERROR(('Revenue Model'!Y18+'Revenue Model'!Y31)/('Revenue Model'!Y11+'Revenue Model'!Y24),0)</f>
        <v>1840.4796060514414</v>
      </c>
      <c r="Z69" s="78">
        <f>IFERROR(('Revenue Model'!Z18+'Revenue Model'!Z31)/('Revenue Model'!Z11+'Revenue Model'!Z24),0)</f>
        <v>1854.936176281391</v>
      </c>
      <c r="AA69" s="78">
        <f>IFERROR(('Revenue Model'!AA18+'Revenue Model'!AA31)/('Revenue Model'!AA11+'Revenue Model'!AA24),0)</f>
        <v>1869.4664012529511</v>
      </c>
      <c r="AB69" s="78">
        <f>IFERROR(('Revenue Model'!AB18+'Revenue Model'!AB31)/('Revenue Model'!AB11+'Revenue Model'!AB24),0)</f>
        <v>1884.072939818742</v>
      </c>
      <c r="AC69" s="78">
        <f>IFERROR(('Revenue Model'!AC18+'Revenue Model'!AC31)/('Revenue Model'!AC11+'Revenue Model'!AC24),0)</f>
        <v>1898.7582570809459</v>
      </c>
      <c r="AD69" s="78">
        <f>IFERROR(('Revenue Model'!AD18+'Revenue Model'!AD31)/('Revenue Model'!AD11+'Revenue Model'!AD24),0)</f>
        <v>1913.5246478262172</v>
      </c>
      <c r="AE69" s="78">
        <f>IFERROR(('Revenue Model'!AE18+'Revenue Model'!AE31)/('Revenue Model'!AE11+'Revenue Model'!AE24),0)</f>
        <v>1928.3742566968781</v>
      </c>
      <c r="AF69" s="78">
        <f>IFERROR(('Revenue Model'!AF18+'Revenue Model'!AF31)/('Revenue Model'!AF11+'Revenue Model'!AF24),0)</f>
        <v>1943.3090956170265</v>
      </c>
      <c r="AG69" s="78">
        <f>IFERROR(('Revenue Model'!AG18+'Revenue Model'!AG31)/('Revenue Model'!AG11+'Revenue Model'!AG24),0)</f>
        <v>1958.3310589000723</v>
      </c>
      <c r="AH69" s="78">
        <f>IFERROR(('Revenue Model'!AH18+'Revenue Model'!AH31)/('Revenue Model'!AH11+'Revenue Model'!AH24),0)</f>
        <v>1973.4419363901586</v>
      </c>
      <c r="AI69" s="78">
        <f>IFERROR(('Revenue Model'!AI18+'Revenue Model'!AI31)/('Revenue Model'!AI11+'Revenue Model'!AI24),0)</f>
        <v>1988.6434249299707</v>
      </c>
      <c r="AJ69" s="78">
        <f>IFERROR(('Revenue Model'!AJ18+'Revenue Model'!AJ31)/('Revenue Model'!AJ11+'Revenue Model'!AJ24),0)</f>
        <v>2003.9371383987509</v>
      </c>
      <c r="AK69" s="78">
        <f>IFERROR(('Revenue Model'!AK18+'Revenue Model'!AK31)/('Revenue Model'!AK11+'Revenue Model'!AK24),0)</f>
        <v>2019.3246165245826</v>
      </c>
      <c r="AL69" s="78">
        <f>IFERROR(('Revenue Model'!AL18+'Revenue Model'!AL31)/('Revenue Model'!AL11+'Revenue Model'!AL24),0)</f>
        <v>2034.8073326423735</v>
      </c>
    </row>
    <row r="70" spans="1:42" x14ac:dyDescent="0.35">
      <c r="A70" s="33" t="s">
        <v>349</v>
      </c>
      <c r="B70" s="34" t="s">
        <v>177</v>
      </c>
      <c r="C70" s="70">
        <f>IFERROR(-('Revenue Model'!C17+'Revenue Model'!C30)/('Revenue Model'!C14+'Revenue Model'!C27),0)</f>
        <v>1.0216216216216217E-2</v>
      </c>
      <c r="D70" s="70">
        <f>IFERROR(-('Revenue Model'!D17+'Revenue Model'!D30)/('Revenue Model'!D14+'Revenue Model'!D27),0)</f>
        <v>1.0199689451401379E-2</v>
      </c>
      <c r="E70" s="70">
        <f>IFERROR(-('Revenue Model'!E17+'Revenue Model'!E30)/('Revenue Model'!E14+'Revenue Model'!E27),0)</f>
        <v>1.0183897736685602E-2</v>
      </c>
      <c r="F70" s="70">
        <f>IFERROR(-('Revenue Model'!F17+'Revenue Model'!F30)/('Revenue Model'!F14+'Revenue Model'!F27),0)</f>
        <v>1.0168712452476698E-2</v>
      </c>
      <c r="G70" s="70">
        <f>IFERROR(-('Revenue Model'!G17+'Revenue Model'!G30)/('Revenue Model'!G14+'Revenue Model'!G27),0)</f>
        <v>1.0154034367403258E-2</v>
      </c>
      <c r="H70" s="70">
        <f>IFERROR(-('Revenue Model'!H17+'Revenue Model'!H30)/('Revenue Model'!H14+'Revenue Model'!H27),0)</f>
        <v>1.0139785706845343E-2</v>
      </c>
      <c r="I70" s="70">
        <f>IFERROR(-('Revenue Model'!I17+'Revenue Model'!I30)/('Revenue Model'!I14+'Revenue Model'!I27),0)</f>
        <v>1.0125904658403E-2</v>
      </c>
      <c r="J70" s="70">
        <f>IFERROR(-('Revenue Model'!J17+'Revenue Model'!J30)/('Revenue Model'!J14+'Revenue Model'!J27),0)</f>
        <v>1.0112341483318061E-2</v>
      </c>
      <c r="K70" s="70">
        <f>IFERROR(-('Revenue Model'!K17+'Revenue Model'!K30)/('Revenue Model'!K14+'Revenue Model'!K27),0)</f>
        <v>1.009905571166423E-2</v>
      </c>
      <c r="L70" s="70">
        <f>IFERROR(-('Revenue Model'!L17+'Revenue Model'!L30)/('Revenue Model'!L14+'Revenue Model'!L27),0)</f>
        <v>1.0086014084554333E-2</v>
      </c>
      <c r="M70" s="70">
        <f>IFERROR(-('Revenue Model'!M17+'Revenue Model'!M30)/('Revenue Model'!M14+'Revenue Model'!M27),0)</f>
        <v>1.0073189021115184E-2</v>
      </c>
      <c r="N70" s="70">
        <f>IFERROR(-('Revenue Model'!N17+'Revenue Model'!N30)/('Revenue Model'!N14+'Revenue Model'!N27),0)</f>
        <v>1.0060557460468566E-2</v>
      </c>
      <c r="O70" s="70">
        <f>IFERROR(-('Revenue Model'!O17+'Revenue Model'!O30)/('Revenue Model'!O14+'Revenue Model'!O27),0)</f>
        <v>1.0048099975889034E-2</v>
      </c>
      <c r="P70" s="70">
        <f>IFERROR(-('Revenue Model'!P17+'Revenue Model'!P30)/('Revenue Model'!P14+'Revenue Model'!P27),0)</f>
        <v>1.0035800089319164E-2</v>
      </c>
      <c r="Q70" s="70">
        <f>IFERROR(-('Revenue Model'!Q17+'Revenue Model'!Q30)/('Revenue Model'!Q14+'Revenue Model'!Q27),0)</f>
        <v>1.0023643735294359E-2</v>
      </c>
      <c r="R70" s="70">
        <f>IFERROR(-('Revenue Model'!R17+'Revenue Model'!R30)/('Revenue Model'!R14+'Revenue Model'!R27),0)</f>
        <v>1.0011618837616417E-2</v>
      </c>
      <c r="S70" s="70">
        <f>IFERROR(-('Revenue Model'!S17+'Revenue Model'!S30)/('Revenue Model'!S14+'Revenue Model'!S27),0)</f>
        <v>9.9997149720475378E-3</v>
      </c>
      <c r="T70" s="70">
        <f>IFERROR(-('Revenue Model'!T17+'Revenue Model'!T30)/('Revenue Model'!T14+'Revenue Model'!T27),0)</f>
        <v>9.9879230953006087E-3</v>
      </c>
      <c r="U70" s="70">
        <f>IFERROR(-('Revenue Model'!U17+'Revenue Model'!U30)/('Revenue Model'!U14+'Revenue Model'!U27),0)</f>
        <v>9.9762353256065001E-3</v>
      </c>
      <c r="V70" s="70">
        <f>IFERROR(-('Revenue Model'!V17+'Revenue Model'!V30)/('Revenue Model'!V14+'Revenue Model'!V27),0)</f>
        <v>9.9646447637591912E-3</v>
      </c>
      <c r="W70" s="70">
        <f>IFERROR(-('Revenue Model'!W17+'Revenue Model'!W30)/('Revenue Model'!W14+'Revenue Model'!W27),0)</f>
        <v>9.9531453461877903E-3</v>
      </c>
      <c r="X70" s="70">
        <f>IFERROR(-('Revenue Model'!X17+'Revenue Model'!X30)/('Revenue Model'!X14+'Revenue Model'!X27),0)</f>
        <v>9.9417317235626409E-3</v>
      </c>
      <c r="Y70" s="70">
        <f>IFERROR(-('Revenue Model'!Y17+'Revenue Model'!Y30)/('Revenue Model'!Y14+'Revenue Model'!Y27),0)</f>
        <v>9.9303991599046758E-3</v>
      </c>
      <c r="Z70" s="70">
        <f>IFERROR(-('Revenue Model'!Z17+'Revenue Model'!Z30)/('Revenue Model'!Z14+'Revenue Model'!Z27),0)</f>
        <v>9.9191434482689324E-3</v>
      </c>
      <c r="AA70" s="70">
        <f>IFERROR(-('Revenue Model'!AA17+'Revenue Model'!AA30)/('Revenue Model'!AA14+'Revenue Model'!AA27),0)</f>
        <v>9.9079608399108478E-3</v>
      </c>
      <c r="AB70" s="70">
        <f>IFERROR(-('Revenue Model'!AB17+'Revenue Model'!AB30)/('Revenue Model'!AB14+'Revenue Model'!AB27),0)</f>
        <v>9.8968479844856461E-3</v>
      </c>
      <c r="AC70" s="70">
        <f>IFERROR(-('Revenue Model'!AC17+'Revenue Model'!AC30)/('Revenue Model'!AC14+'Revenue Model'!AC27),0)</f>
        <v>9.8858018793271715E-3</v>
      </c>
      <c r="AD70" s="70">
        <f>IFERROR(-('Revenue Model'!AD17+'Revenue Model'!AD30)/('Revenue Model'!AD14+'Revenue Model'!AD27),0)</f>
        <v>9.8748198262378836E-3</v>
      </c>
      <c r="AE70" s="70">
        <f>IFERROR(-('Revenue Model'!AE17+'Revenue Model'!AE30)/('Revenue Model'!AE14+'Revenue Model'!AE27),0)</f>
        <v>9.8638993945240686E-3</v>
      </c>
      <c r="AF70" s="70">
        <f>IFERROR(-('Revenue Model'!AF17+'Revenue Model'!AF30)/('Revenue Model'!AF14+'Revenue Model'!AF27),0)</f>
        <v>9.8530383892483347E-3</v>
      </c>
      <c r="AG70" s="70">
        <f>IFERROR(-('Revenue Model'!AG17+'Revenue Model'!AG30)/('Revenue Model'!AG14+'Revenue Model'!AG27),0)</f>
        <v>9.8422348238603949E-3</v>
      </c>
      <c r="AH70" s="70">
        <f>IFERROR(-('Revenue Model'!AH17+'Revenue Model'!AH30)/('Revenue Model'!AH14+'Revenue Model'!AH27),0)</f>
        <v>9.8314868965179401E-3</v>
      </c>
      <c r="AI70" s="70">
        <f>IFERROR(-('Revenue Model'!AI17+'Revenue Model'!AI30)/('Revenue Model'!AI14+'Revenue Model'!AI27),0)</f>
        <v>9.8207929695302409E-3</v>
      </c>
      <c r="AJ70" s="70">
        <f>IFERROR(-('Revenue Model'!AJ17+'Revenue Model'!AJ30)/('Revenue Model'!AJ14+'Revenue Model'!AJ27),0)</f>
        <v>9.8101515514547044E-3</v>
      </c>
      <c r="AK70" s="70">
        <f>IFERROR(-('Revenue Model'!AK17+'Revenue Model'!AK30)/('Revenue Model'!AK14+'Revenue Model'!AK27),0)</f>
        <v>9.7995612814557598E-3</v>
      </c>
      <c r="AL70" s="70">
        <f>IFERROR(-('Revenue Model'!AL17+'Revenue Model'!AL30)/('Revenue Model'!AL14+'Revenue Model'!AL27),0)</f>
        <v>9.7890209155996732E-3</v>
      </c>
    </row>
    <row r="71" spans="1:42" x14ac:dyDescent="0.35">
      <c r="A71" s="33" t="s">
        <v>350</v>
      </c>
      <c r="B71" s="34" t="s">
        <v>144</v>
      </c>
      <c r="C71" s="78">
        <f t="shared" ref="C71:AL71" si="4">IFERROR(C69*C61/C70,"n/a")</f>
        <v>120511.45202174236</v>
      </c>
      <c r="D71" s="78">
        <f t="shared" si="4"/>
        <v>122582.48812438181</v>
      </c>
      <c r="E71" s="78">
        <f t="shared" si="4"/>
        <v>124558.80105956861</v>
      </c>
      <c r="F71" s="78">
        <f t="shared" si="4"/>
        <v>126457.8368532834</v>
      </c>
      <c r="G71" s="78">
        <f t="shared" si="4"/>
        <v>128293.39946483045</v>
      </c>
      <c r="H71" s="78">
        <f t="shared" si="4"/>
        <v>130076.55774378705</v>
      </c>
      <c r="I71" s="78">
        <f t="shared" si="4"/>
        <v>131816.29427320731</v>
      </c>
      <c r="J71" s="78">
        <f t="shared" si="4"/>
        <v>133519.97791093879</v>
      </c>
      <c r="K71" s="78">
        <f t="shared" si="4"/>
        <v>135193.71349171497</v>
      </c>
      <c r="L71" s="78">
        <f t="shared" si="4"/>
        <v>136842.6043951379</v>
      </c>
      <c r="M71" s="78">
        <f t="shared" si="4"/>
        <v>138470.95229751081</v>
      </c>
      <c r="N71" s="78">
        <f t="shared" si="4"/>
        <v>140082.41096698967</v>
      </c>
      <c r="O71" s="78">
        <f t="shared" si="4"/>
        <v>141076.56037625321</v>
      </c>
      <c r="P71" s="78">
        <f t="shared" si="4"/>
        <v>142559.78747995195</v>
      </c>
      <c r="Q71" s="78">
        <f t="shared" si="4"/>
        <v>144039.69869610644</v>
      </c>
      <c r="R71" s="78">
        <f t="shared" si="4"/>
        <v>145517.77649106144</v>
      </c>
      <c r="S71" s="78">
        <f t="shared" si="4"/>
        <v>146995.32263717215</v>
      </c>
      <c r="T71" s="78">
        <f t="shared" si="4"/>
        <v>148473.48648429924</v>
      </c>
      <c r="U71" s="78">
        <f t="shared" si="4"/>
        <v>149953.28809594826</v>
      </c>
      <c r="V71" s="78">
        <f t="shared" si="4"/>
        <v>151435.6373064403</v>
      </c>
      <c r="W71" s="78">
        <f t="shared" si="4"/>
        <v>152921.34951423138</v>
      </c>
      <c r="X71" s="78">
        <f t="shared" si="4"/>
        <v>154411.15884550309</v>
      </c>
      <c r="Y71" s="78">
        <f t="shared" si="4"/>
        <v>155905.7291851445</v>
      </c>
      <c r="Z71" s="78">
        <f t="shared" si="4"/>
        <v>157405.66346766852</v>
      </c>
      <c r="AA71" s="78">
        <f t="shared" si="4"/>
        <v>158399.9011539619</v>
      </c>
      <c r="AB71" s="78">
        <f t="shared" si="4"/>
        <v>159911.22318174911</v>
      </c>
      <c r="AC71" s="78">
        <f t="shared" si="4"/>
        <v>161429.31941030925</v>
      </c>
      <c r="AD71" s="78">
        <f t="shared" si="4"/>
        <v>162954.62345273784</v>
      </c>
      <c r="AE71" s="78">
        <f t="shared" si="4"/>
        <v>164487.53671486044</v>
      </c>
      <c r="AF71" s="78">
        <f t="shared" si="4"/>
        <v>166028.43210226941</v>
      </c>
      <c r="AG71" s="78">
        <f t="shared" si="4"/>
        <v>167577.6572337058</v>
      </c>
      <c r="AH71" s="78">
        <f t="shared" si="4"/>
        <v>169135.53723585425</v>
      </c>
      <c r="AI71" s="78">
        <f t="shared" si="4"/>
        <v>170702.3771818493</v>
      </c>
      <c r="AJ71" s="78">
        <f t="shared" si="4"/>
        <v>172278.46422541712</v>
      </c>
      <c r="AK71" s="78">
        <f t="shared" si="4"/>
        <v>173864.0694741036</v>
      </c>
      <c r="AL71" s="78">
        <f t="shared" si="4"/>
        <v>175459.44963809496</v>
      </c>
    </row>
    <row r="72" spans="1:42" x14ac:dyDescent="0.35">
      <c r="A72" s="33" t="s">
        <v>329</v>
      </c>
      <c r="B72" s="34" t="s">
        <v>134</v>
      </c>
      <c r="C72" s="79">
        <f t="shared" ref="C72:AL72" si="5">IFERROR(C71/C68,"n/a")</f>
        <v>6.4002410926276552</v>
      </c>
      <c r="D72" s="79">
        <f t="shared" si="5"/>
        <v>6.4644184827021958</v>
      </c>
      <c r="E72" s="79">
        <f t="shared" si="5"/>
        <v>6.5227385938071514</v>
      </c>
      <c r="F72" s="79">
        <f t="shared" si="5"/>
        <v>6.5309097210228728</v>
      </c>
      <c r="G72" s="79">
        <f t="shared" si="5"/>
        <v>6.5356251597057851</v>
      </c>
      <c r="H72" s="79">
        <f t="shared" si="5"/>
        <v>6.5375802829323675</v>
      </c>
      <c r="I72" s="79">
        <f t="shared" si="5"/>
        <v>6.5373301812877367</v>
      </c>
      <c r="J72" s="79">
        <f t="shared" si="5"/>
        <v>6.5353219546396719</v>
      </c>
      <c r="K72" s="79">
        <f t="shared" si="5"/>
        <v>6.5319185705678873</v>
      </c>
      <c r="L72" s="79">
        <f t="shared" si="5"/>
        <v>6.5274167441103925</v>
      </c>
      <c r="M72" s="79">
        <f t="shared" si="5"/>
        <v>6.5220605102983704</v>
      </c>
      <c r="N72" s="79">
        <f t="shared" si="5"/>
        <v>6.5160516480110395</v>
      </c>
      <c r="O72" s="79">
        <f t="shared" si="5"/>
        <v>6.2610049369359446</v>
      </c>
      <c r="P72" s="79">
        <f t="shared" si="5"/>
        <v>6.0465898294010456</v>
      </c>
      <c r="Q72" s="79">
        <f t="shared" si="5"/>
        <v>5.8479031051864965</v>
      </c>
      <c r="R72" s="79">
        <f t="shared" si="5"/>
        <v>5.8376959092393204</v>
      </c>
      <c r="S72" s="79">
        <f t="shared" si="5"/>
        <v>5.8277074128173441</v>
      </c>
      <c r="T72" s="79">
        <f t="shared" si="5"/>
        <v>5.8179750367792522</v>
      </c>
      <c r="U72" s="79">
        <f t="shared" si="5"/>
        <v>5.8085294762466599</v>
      </c>
      <c r="V72" s="79">
        <f t="shared" si="5"/>
        <v>5.7993958119608111</v>
      </c>
      <c r="W72" s="79">
        <f t="shared" si="5"/>
        <v>5.7905944232426654</v>
      </c>
      <c r="X72" s="79">
        <f t="shared" si="5"/>
        <v>5.7821417417090162</v>
      </c>
      <c r="Y72" s="79">
        <f t="shared" si="5"/>
        <v>5.7740508763865632</v>
      </c>
      <c r="Z72" s="79">
        <f t="shared" si="5"/>
        <v>5.7663321343744061</v>
      </c>
      <c r="AA72" s="79">
        <f t="shared" si="5"/>
        <v>5.5527547315303467</v>
      </c>
      <c r="AB72" s="79">
        <f t="shared" si="5"/>
        <v>5.3734972013789273</v>
      </c>
      <c r="AC72" s="79">
        <f t="shared" si="5"/>
        <v>5.2080678798628464</v>
      </c>
      <c r="AD72" s="79">
        <f t="shared" si="5"/>
        <v>5.2055666619937142</v>
      </c>
      <c r="AE72" s="79">
        <f t="shared" si="5"/>
        <v>5.203354877158386</v>
      </c>
      <c r="AF72" s="79">
        <f t="shared" si="5"/>
        <v>5.2014358320886043</v>
      </c>
      <c r="AG72" s="79">
        <f t="shared" si="5"/>
        <v>5.1998119225117723</v>
      </c>
      <c r="AH72" s="79">
        <f t="shared" si="5"/>
        <v>5.1984847621581363</v>
      </c>
      <c r="AI72" s="79">
        <f t="shared" si="5"/>
        <v>5.1974552936632392</v>
      </c>
      <c r="AJ72" s="79">
        <f t="shared" si="5"/>
        <v>5.1967238841089918</v>
      </c>
      <c r="AK72" s="79">
        <f t="shared" si="5"/>
        <v>5.1962904074915182</v>
      </c>
      <c r="AL72" s="79">
        <f t="shared" si="5"/>
        <v>5.1961543160313637</v>
      </c>
    </row>
    <row r="73" spans="1:42" x14ac:dyDescent="0.35">
      <c r="A73" s="33" t="s">
        <v>351</v>
      </c>
      <c r="B73" s="34" t="s">
        <v>300</v>
      </c>
      <c r="C73" s="73">
        <f t="shared" ref="C73:AL73" si="6">IFERROR(C68/(C69*C61),"n/a")</f>
        <v>15.29373604321696</v>
      </c>
      <c r="D73" s="73">
        <f t="shared" si="6"/>
        <v>15.166437775599126</v>
      </c>
      <c r="E73" s="73">
        <f t="shared" si="6"/>
        <v>15.054141587388587</v>
      </c>
      <c r="F73" s="73">
        <f t="shared" si="6"/>
        <v>15.057759380214609</v>
      </c>
      <c r="G73" s="73">
        <f t="shared" si="6"/>
        <v>15.068646162975638</v>
      </c>
      <c r="H73" s="73">
        <f t="shared" si="6"/>
        <v>15.08530822274844</v>
      </c>
      <c r="I73" s="73">
        <f t="shared" si="6"/>
        <v>15.10656576279627</v>
      </c>
      <c r="J73" s="73">
        <f t="shared" si="6"/>
        <v>15.131475733769935</v>
      </c>
      <c r="K73" s="73">
        <f t="shared" si="6"/>
        <v>15.159276345399695</v>
      </c>
      <c r="L73" s="73">
        <f t="shared" si="6"/>
        <v>15.189346470408891</v>
      </c>
      <c r="M73" s="73">
        <f t="shared" si="6"/>
        <v>15.221175477456214</v>
      </c>
      <c r="N73" s="73">
        <f t="shared" si="6"/>
        <v>15.254340495855212</v>
      </c>
      <c r="O73" s="73">
        <f t="shared" si="6"/>
        <v>15.895419948721337</v>
      </c>
      <c r="P73" s="73">
        <f t="shared" si="6"/>
        <v>16.479251775398826</v>
      </c>
      <c r="Q73" s="73">
        <f t="shared" si="6"/>
        <v>17.059810766386565</v>
      </c>
      <c r="R73" s="73">
        <f t="shared" si="6"/>
        <v>17.110166068511354</v>
      </c>
      <c r="S73" s="73">
        <f t="shared" si="6"/>
        <v>17.159895526124661</v>
      </c>
      <c r="T73" s="73">
        <f t="shared" si="6"/>
        <v>17.208893892126966</v>
      </c>
      <c r="U73" s="73">
        <f t="shared" si="6"/>
        <v>17.257072251923212</v>
      </c>
      <c r="V73" s="73">
        <f t="shared" si="6"/>
        <v>17.304355495657443</v>
      </c>
      <c r="W73" s="73">
        <f t="shared" si="6"/>
        <v>17.350680238997473</v>
      </c>
      <c r="X73" s="73">
        <f t="shared" si="6"/>
        <v>17.395993102346583</v>
      </c>
      <c r="Y73" s="73">
        <f t="shared" si="6"/>
        <v>17.440249278476035</v>
      </c>
      <c r="Z73" s="73">
        <f t="shared" si="6"/>
        <v>17.48341133377442</v>
      </c>
      <c r="AA73" s="73">
        <f t="shared" si="6"/>
        <v>18.176373058102389</v>
      </c>
      <c r="AB73" s="73">
        <f t="shared" si="6"/>
        <v>18.803819488120613</v>
      </c>
      <c r="AC73" s="73">
        <f t="shared" si="6"/>
        <v>19.422783150958402</v>
      </c>
      <c r="AD73" s="73">
        <f t="shared" si="6"/>
        <v>19.453726565027246</v>
      </c>
      <c r="AE73" s="73">
        <f t="shared" si="6"/>
        <v>19.483542330997874</v>
      </c>
      <c r="AF73" s="73">
        <f t="shared" si="6"/>
        <v>19.512215326029391</v>
      </c>
      <c r="AG73" s="73">
        <f t="shared" si="6"/>
        <v>19.539733762646996</v>
      </c>
      <c r="AH73" s="73">
        <f t="shared" si="6"/>
        <v>19.566088788839959</v>
      </c>
      <c r="AI73" s="73">
        <f t="shared" si="6"/>
        <v>19.59127414080751</v>
      </c>
      <c r="AJ73" s="73">
        <f t="shared" si="6"/>
        <v>19.615285840478844</v>
      </c>
      <c r="AK73" s="73">
        <f t="shared" si="6"/>
        <v>19.638121931251028</v>
      </c>
      <c r="AL73" s="73">
        <f t="shared" si="6"/>
        <v>19.659782246463116</v>
      </c>
    </row>
    <row r="74" spans="1:42" x14ac:dyDescent="0.35">
      <c r="A74" s="33" t="s">
        <v>352</v>
      </c>
      <c r="B74" s="34" t="s">
        <v>134</v>
      </c>
      <c r="C74" s="38" t="str">
        <f>"n/a"</f>
        <v>n/a</v>
      </c>
      <c r="D74" s="38" t="str">
        <f>"n/a"</f>
        <v>n/a</v>
      </c>
      <c r="E74" s="38" t="str">
        <f>"n/a"</f>
        <v>n/a</v>
      </c>
      <c r="F74" s="38" t="str">
        <f>"n/a"</f>
        <v>n/a</v>
      </c>
      <c r="G74" s="38" t="str">
        <f>"n/a"</f>
        <v>n/a</v>
      </c>
      <c r="H74" s="38">
        <f t="shared" ref="H74:AL74" si="7">IFERROR((H57-E57)/SUM(C67:E67),"n/a")</f>
        <v>0.9375275643510409</v>
      </c>
      <c r="I74" s="38">
        <f t="shared" si="7"/>
        <v>0.92732669833172443</v>
      </c>
      <c r="J74" s="38">
        <f t="shared" si="7"/>
        <v>0.91744734216566326</v>
      </c>
      <c r="K74" s="38">
        <f t="shared" si="7"/>
        <v>0.90787658418492612</v>
      </c>
      <c r="L74" s="38">
        <f t="shared" si="7"/>
        <v>0.89860219811917841</v>
      </c>
      <c r="M74" s="38">
        <f t="shared" si="7"/>
        <v>0.88961259832500794</v>
      </c>
      <c r="N74" s="38">
        <f t="shared" si="7"/>
        <v>0.88089679847911817</v>
      </c>
      <c r="O74" s="38">
        <f t="shared" si="7"/>
        <v>0.87244437342674608</v>
      </c>
      <c r="P74" s="38">
        <f t="shared" si="7"/>
        <v>0.86424542390761916</v>
      </c>
      <c r="Q74" s="38">
        <f t="shared" si="7"/>
        <v>0.85629054390945636</v>
      </c>
      <c r="R74" s="38">
        <f t="shared" si="7"/>
        <v>0.81966171334223314</v>
      </c>
      <c r="S74" s="38">
        <f t="shared" si="7"/>
        <v>0.7859590968251069</v>
      </c>
      <c r="T74" s="38">
        <f t="shared" si="7"/>
        <v>0.75485072577855472</v>
      </c>
      <c r="U74" s="38">
        <f t="shared" si="7"/>
        <v>0.74841183426213032</v>
      </c>
      <c r="V74" s="38">
        <f t="shared" si="7"/>
        <v>0.74215888394907492</v>
      </c>
      <c r="W74" s="38">
        <f t="shared" si="7"/>
        <v>0.7360854362161372</v>
      </c>
      <c r="X74" s="38">
        <f t="shared" si="7"/>
        <v>0.73018534937454671</v>
      </c>
      <c r="Y74" s="38">
        <f t="shared" si="7"/>
        <v>0.72445276182314378</v>
      </c>
      <c r="Z74" s="38">
        <f t="shared" si="7"/>
        <v>0.71888207633556034</v>
      </c>
      <c r="AA74" s="38">
        <f t="shared" si="7"/>
        <v>0.71346794539337077</v>
      </c>
      <c r="AB74" s="38">
        <f t="shared" si="7"/>
        <v>0.70820525748483787</v>
      </c>
      <c r="AC74" s="38">
        <f t="shared" si="7"/>
        <v>0.70308912429597259</v>
      </c>
      <c r="AD74" s="38">
        <f t="shared" si="7"/>
        <v>0.67528833237563779</v>
      </c>
      <c r="AE74" s="38">
        <f t="shared" si="7"/>
        <v>0.649729056639193</v>
      </c>
      <c r="AF74" s="38">
        <f t="shared" si="7"/>
        <v>0.62615346783363246</v>
      </c>
      <c r="AG74" s="38">
        <f t="shared" si="7"/>
        <v>0.62234889820068562</v>
      </c>
      <c r="AH74" s="38">
        <f t="shared" si="7"/>
        <v>0.61864655399902002</v>
      </c>
      <c r="AI74" s="38">
        <f t="shared" si="7"/>
        <v>0.6150435199683304</v>
      </c>
      <c r="AJ74" s="38">
        <f t="shared" si="7"/>
        <v>0.61153699334544009</v>
      </c>
      <c r="AK74" s="38">
        <f t="shared" si="7"/>
        <v>0.60812427853991846</v>
      </c>
      <c r="AL74" s="38">
        <f t="shared" si="7"/>
        <v>0.60480278210923144</v>
      </c>
    </row>
    <row r="75" spans="1:42" x14ac:dyDescent="0.35">
      <c r="A75" s="33" t="s">
        <v>353</v>
      </c>
      <c r="B75" s="34" t="s">
        <v>114</v>
      </c>
      <c r="C75" s="70" t="str">
        <f t="shared" ref="C75:AL75" si="8">IFERROR(C60+C62,"n/a")</f>
        <v>n/a</v>
      </c>
      <c r="D75" s="70" t="str">
        <f t="shared" si="8"/>
        <v>n/a</v>
      </c>
      <c r="E75" s="70" t="str">
        <f t="shared" si="8"/>
        <v>n/a</v>
      </c>
      <c r="F75" s="70" t="str">
        <f t="shared" si="8"/>
        <v>n/a</v>
      </c>
      <c r="G75" s="70" t="str">
        <f t="shared" si="8"/>
        <v>n/a</v>
      </c>
      <c r="H75" s="70" t="str">
        <f t="shared" si="8"/>
        <v>n/a</v>
      </c>
      <c r="I75" s="70" t="str">
        <f t="shared" si="8"/>
        <v>n/a</v>
      </c>
      <c r="J75" s="70" t="str">
        <f t="shared" si="8"/>
        <v>n/a</v>
      </c>
      <c r="K75" s="70" t="str">
        <f t="shared" si="8"/>
        <v>n/a</v>
      </c>
      <c r="L75" s="70" t="str">
        <f t="shared" si="8"/>
        <v>n/a</v>
      </c>
      <c r="M75" s="70" t="str">
        <f t="shared" si="8"/>
        <v>n/a</v>
      </c>
      <c r="N75" s="70" t="str">
        <f t="shared" si="8"/>
        <v>n/a</v>
      </c>
      <c r="O75" s="70">
        <f t="shared" si="8"/>
        <v>0.39047197057645405</v>
      </c>
      <c r="P75" s="70">
        <f t="shared" si="8"/>
        <v>0.37000119342903903</v>
      </c>
      <c r="Q75" s="70">
        <f t="shared" si="8"/>
        <v>0.35379143639169236</v>
      </c>
      <c r="R75" s="70">
        <f t="shared" si="8"/>
        <v>0.34095618263474148</v>
      </c>
      <c r="S75" s="70">
        <f t="shared" si="8"/>
        <v>0.33081986867481988</v>
      </c>
      <c r="T75" s="70">
        <f t="shared" si="8"/>
        <v>0.32286092580779485</v>
      </c>
      <c r="U75" s="70">
        <f t="shared" si="8"/>
        <v>0.31667198641675348</v>
      </c>
      <c r="V75" s="70">
        <f t="shared" si="8"/>
        <v>0.31193157098507635</v>
      </c>
      <c r="W75" s="70">
        <f t="shared" si="8"/>
        <v>0.30838361294403566</v>
      </c>
      <c r="X75" s="70">
        <f t="shared" si="8"/>
        <v>0.30582243341776849</v>
      </c>
      <c r="Y75" s="70">
        <f t="shared" si="8"/>
        <v>0.30408156854465207</v>
      </c>
      <c r="Z75" s="70">
        <f t="shared" si="8"/>
        <v>0.30302536122336676</v>
      </c>
      <c r="AA75" s="70">
        <f t="shared" si="8"/>
        <v>0.2310446545795462</v>
      </c>
      <c r="AB75" s="70">
        <f t="shared" si="8"/>
        <v>0.23248064094079562</v>
      </c>
      <c r="AC75" s="70">
        <f t="shared" si="8"/>
        <v>0.23425358064880145</v>
      </c>
      <c r="AD75" s="70">
        <f t="shared" si="8"/>
        <v>0.23630505774175217</v>
      </c>
      <c r="AE75" s="70">
        <f t="shared" si="8"/>
        <v>0.23858653291673138</v>
      </c>
      <c r="AF75" s="70">
        <f t="shared" si="8"/>
        <v>0.24105752912177961</v>
      </c>
      <c r="AG75" s="70">
        <f t="shared" si="8"/>
        <v>0.24368418423148505</v>
      </c>
      <c r="AH75" s="70">
        <f t="shared" si="8"/>
        <v>0.24643808933279499</v>
      </c>
      <c r="AI75" s="70">
        <f t="shared" si="8"/>
        <v>0.24929535083171367</v>
      </c>
      <c r="AJ75" s="70">
        <f t="shared" si="8"/>
        <v>0.25223582914065523</v>
      </c>
      <c r="AK75" s="70">
        <f t="shared" si="8"/>
        <v>0.25524251755600813</v>
      </c>
      <c r="AL75" s="70">
        <f t="shared" si="8"/>
        <v>0.25830103309408936</v>
      </c>
      <c r="AN75" s="70" t="str">
        <f>"n/a"</f>
        <v>n/a</v>
      </c>
      <c r="AO75" s="70">
        <f>IFERROR(AO60+AO62,"n/a")</f>
        <v>0.31998780980891872</v>
      </c>
      <c r="AP75" s="70">
        <f>IFERROR(AP60+AP62,"n/a")</f>
        <v>0.24279052434724593</v>
      </c>
    </row>
    <row r="76" spans="1:42" x14ac:dyDescent="0.35">
      <c r="A76" s="33" t="s">
        <v>295</v>
      </c>
      <c r="B76" s="34" t="s">
        <v>144</v>
      </c>
      <c r="C76" s="67">
        <f>'Cash Flow'!C21</f>
        <v>17731206.187722221</v>
      </c>
      <c r="D76" s="67">
        <f>'Cash Flow'!D21</f>
        <v>17472881.462798979</v>
      </c>
      <c r="E76" s="67">
        <f>'Cash Flow'!E21</f>
        <v>17225091.999271791</v>
      </c>
      <c r="F76" s="67">
        <f>'Cash Flow'!F21</f>
        <v>16987905.091441836</v>
      </c>
      <c r="G76" s="67">
        <f>'Cash Flow'!G21</f>
        <v>16761389.154413363</v>
      </c>
      <c r="H76" s="67">
        <f>'Cash Flow'!H21</f>
        <v>16545613.724684384</v>
      </c>
      <c r="I76" s="67">
        <f>'Cash Flow'!I21</f>
        <v>16340649.460784558</v>
      </c>
      <c r="J76" s="67">
        <f>'Cash Flow'!J21</f>
        <v>16146568.143960163</v>
      </c>
      <c r="K76" s="67">
        <f>'Cash Flow'!K21</f>
        <v>15963442.67890604</v>
      </c>
      <c r="L76" s="67">
        <f>'Cash Flow'!L21</f>
        <v>15791347.094544441</v>
      </c>
      <c r="M76" s="67">
        <f>'Cash Flow'!M21</f>
        <v>15630356.544850633</v>
      </c>
      <c r="N76" s="67">
        <f>'Cash Flow'!N21</f>
        <v>15480547.309725221</v>
      </c>
      <c r="O76" s="67">
        <f>'Cash Flow'!O21</f>
        <v>15285161.772866381</v>
      </c>
      <c r="P76" s="67">
        <f>'Cash Flow'!P21</f>
        <v>15101132.051735269</v>
      </c>
      <c r="Q76" s="67">
        <f>'Cash Flow'!Q21</f>
        <v>14928537.809707848</v>
      </c>
      <c r="R76" s="67">
        <f>'Cash Flow'!R21</f>
        <v>14767459.840039721</v>
      </c>
      <c r="S76" s="67">
        <f>'Cash Flow'!S21</f>
        <v>14617980.066970516</v>
      </c>
      <c r="T76" s="67">
        <f>'Cash Flow'!T21</f>
        <v>14480181.546874464</v>
      </c>
      <c r="U76" s="67">
        <f>'Cash Flow'!U21</f>
        <v>14354148.469457034</v>
      </c>
      <c r="V76" s="67">
        <f>'Cash Flow'!V21</f>
        <v>14239966.158997592</v>
      </c>
      <c r="W76" s="67">
        <f>'Cash Flow'!W21</f>
        <v>14137721.075637972</v>
      </c>
      <c r="X76" s="67">
        <f>'Cash Flow'!X21</f>
        <v>14047500.816716911</v>
      </c>
      <c r="Y76" s="67">
        <f>'Cash Flow'!Y21</f>
        <v>13969394.118150262</v>
      </c>
      <c r="Z76" s="67">
        <f>'Cash Flow'!Z21</f>
        <v>13903490.855856918</v>
      </c>
      <c r="AA76" s="67">
        <f>'Cash Flow'!AA21</f>
        <v>13779553.132843541</v>
      </c>
      <c r="AB76" s="67">
        <f>'Cash Flow'!AB21</f>
        <v>13667510.778638868</v>
      </c>
      <c r="AC76" s="67">
        <f>'Cash Flow'!AC21</f>
        <v>13567457.098182596</v>
      </c>
      <c r="AD76" s="67">
        <f>'Cash Flow'!AD21</f>
        <v>13479486.542576976</v>
      </c>
      <c r="AE76" s="67">
        <f>'Cash Flow'!AE21</f>
        <v>13403694.710740322</v>
      </c>
      <c r="AF76" s="67">
        <f>'Cash Flow'!AF21</f>
        <v>13340178.351105865</v>
      </c>
      <c r="AG76" s="67">
        <f>'Cash Flow'!AG21</f>
        <v>13289035.363365887</v>
      </c>
      <c r="AH76" s="67">
        <f>'Cash Flow'!AH21</f>
        <v>13250364.800261088</v>
      </c>
      <c r="AI76" s="67">
        <f>'Cash Flow'!AI21</f>
        <v>13224266.869415129</v>
      </c>
      <c r="AJ76" s="67">
        <f>'Cash Flow'!AJ21</f>
        <v>13210842.9352143</v>
      </c>
      <c r="AK76" s="67">
        <f>'Cash Flow'!AK21</f>
        <v>13210195.520732271</v>
      </c>
      <c r="AL76" s="67">
        <f>'Cash Flow'!AL21</f>
        <v>13222428.30969988</v>
      </c>
      <c r="AN76" s="58">
        <f>N76</f>
        <v>15480547.309725221</v>
      </c>
      <c r="AO76" s="58">
        <f>Z76</f>
        <v>13903490.855856918</v>
      </c>
      <c r="AP76" s="58">
        <f>AL76</f>
        <v>13222428.30969988</v>
      </c>
    </row>
    <row r="77" spans="1:42" x14ac:dyDescent="0.35">
      <c r="A77" s="33" t="s">
        <v>354</v>
      </c>
      <c r="B77" s="34" t="s">
        <v>300</v>
      </c>
      <c r="C77" s="80" t="str">
        <f>'Cash Flow'!C26</f>
        <v>&gt;60</v>
      </c>
      <c r="D77" s="80" t="str">
        <f>'Cash Flow'!D26</f>
        <v>&gt;60</v>
      </c>
      <c r="E77" s="80" t="str">
        <f>'Cash Flow'!E26</f>
        <v>&gt;60</v>
      </c>
      <c r="F77" s="80" t="str">
        <f>'Cash Flow'!F26</f>
        <v>&gt;60</v>
      </c>
      <c r="G77" s="80" t="str">
        <f>'Cash Flow'!G26</f>
        <v>&gt;60</v>
      </c>
      <c r="H77" s="80" t="str">
        <f>'Cash Flow'!H26</f>
        <v>&gt;60</v>
      </c>
      <c r="I77" s="80" t="str">
        <f>'Cash Flow'!I26</f>
        <v>&gt;60</v>
      </c>
      <c r="J77" s="80" t="str">
        <f>'Cash Flow'!J26</f>
        <v>&gt;60</v>
      </c>
      <c r="K77" s="80" t="str">
        <f>'Cash Flow'!K26</f>
        <v>&gt;60</v>
      </c>
      <c r="L77" s="80" t="str">
        <f>'Cash Flow'!L26</f>
        <v>&gt;60</v>
      </c>
      <c r="M77" s="80" t="str">
        <f>'Cash Flow'!M26</f>
        <v>&gt;60</v>
      </c>
      <c r="N77" s="80" t="str">
        <f>'Cash Flow'!N26</f>
        <v>&gt;60</v>
      </c>
      <c r="O77" s="80" t="str">
        <f>'Cash Flow'!O26</f>
        <v>&gt;60</v>
      </c>
      <c r="P77" s="80" t="str">
        <f>'Cash Flow'!P26</f>
        <v>&gt;60</v>
      </c>
      <c r="Q77" s="80" t="str">
        <f>'Cash Flow'!Q26</f>
        <v>&gt;60</v>
      </c>
      <c r="R77" s="80" t="str">
        <f>'Cash Flow'!R26</f>
        <v>&gt;60</v>
      </c>
      <c r="S77" s="80" t="str">
        <f>'Cash Flow'!S26</f>
        <v>&gt;60</v>
      </c>
      <c r="T77" s="80" t="str">
        <f>'Cash Flow'!T26</f>
        <v>&gt;60</v>
      </c>
      <c r="U77" s="80" t="str">
        <f>'Cash Flow'!U26</f>
        <v>&gt;60</v>
      </c>
      <c r="V77" s="80" t="str">
        <f>'Cash Flow'!V26</f>
        <v>&gt;60</v>
      </c>
      <c r="W77" s="80" t="str">
        <f>'Cash Flow'!W26</f>
        <v>&gt;60</v>
      </c>
      <c r="X77" s="80" t="str">
        <f>'Cash Flow'!X26</f>
        <v>&gt;60</v>
      </c>
      <c r="Y77" s="80" t="str">
        <f>'Cash Flow'!Y26</f>
        <v>&gt;60</v>
      </c>
      <c r="Z77" s="80" t="str">
        <f>'Cash Flow'!Z26</f>
        <v>&gt;60</v>
      </c>
      <c r="AA77" s="80" t="str">
        <f>'Cash Flow'!AA26</f>
        <v>&gt;60</v>
      </c>
      <c r="AB77" s="80" t="str">
        <f>'Cash Flow'!AB26</f>
        <v>&gt;60</v>
      </c>
      <c r="AC77" s="80" t="str">
        <f>'Cash Flow'!AC26</f>
        <v>&gt;60</v>
      </c>
      <c r="AD77" s="80" t="str">
        <f>'Cash Flow'!AD26</f>
        <v>&gt;60</v>
      </c>
      <c r="AE77" s="80" t="str">
        <f>'Cash Flow'!AE26</f>
        <v>&gt;60</v>
      </c>
      <c r="AF77" s="80" t="str">
        <f>'Cash Flow'!AF26</f>
        <v>&gt;60</v>
      </c>
      <c r="AG77" s="80" t="str">
        <f>'Cash Flow'!AG26</f>
        <v>&gt;60</v>
      </c>
      <c r="AH77" s="80" t="str">
        <f>'Cash Flow'!AH26</f>
        <v>&gt;60</v>
      </c>
      <c r="AI77" s="80" t="str">
        <f>'Cash Flow'!AI26</f>
        <v>&gt;60</v>
      </c>
      <c r="AJ77" s="80" t="str">
        <f>'Cash Flow'!AJ26</f>
        <v>&gt;60</v>
      </c>
      <c r="AK77" s="80" t="str">
        <f>'Cash Flow'!AK26</f>
        <v>&gt;60</v>
      </c>
      <c r="AL77" s="80" t="str">
        <f>'Cash Flow'!AL26</f>
        <v>&gt;60</v>
      </c>
    </row>
    <row r="79" spans="1:42" x14ac:dyDescent="0.35">
      <c r="A79" s="24" t="s">
        <v>355</v>
      </c>
    </row>
    <row r="80" spans="1:42" x14ac:dyDescent="0.35">
      <c r="A80" s="63" t="s">
        <v>153</v>
      </c>
      <c r="B80" s="34" t="s">
        <v>101</v>
      </c>
      <c r="C80" s="81">
        <f>Headcount!C16</f>
        <v>12.333333333333334</v>
      </c>
      <c r="D80" s="81">
        <f>Headcount!D16</f>
        <v>12.666666666666668</v>
      </c>
      <c r="E80" s="81">
        <f>Headcount!E16</f>
        <v>13.000000000000002</v>
      </c>
      <c r="F80" s="81">
        <f>Headcount!F16</f>
        <v>13.333333333333336</v>
      </c>
      <c r="G80" s="81">
        <f>Headcount!G16</f>
        <v>13.66666666666667</v>
      </c>
      <c r="H80" s="81">
        <f>Headcount!H16</f>
        <v>14.000000000000004</v>
      </c>
      <c r="I80" s="81">
        <f>Headcount!I16</f>
        <v>14.333333333333337</v>
      </c>
      <c r="J80" s="81">
        <f>Headcount!J16</f>
        <v>14.666666666666671</v>
      </c>
      <c r="K80" s="81">
        <f>Headcount!K16</f>
        <v>15.000000000000005</v>
      </c>
      <c r="L80" s="81">
        <f>Headcount!L16</f>
        <v>15.333333333333339</v>
      </c>
      <c r="M80" s="81">
        <f>Headcount!M16</f>
        <v>15.666666666666673</v>
      </c>
      <c r="N80" s="81">
        <f>Headcount!N16</f>
        <v>16.000000000000007</v>
      </c>
      <c r="O80" s="81">
        <f>Headcount!O16</f>
        <v>16.250000000000007</v>
      </c>
      <c r="P80" s="81">
        <f>Headcount!P16</f>
        <v>16.500000000000007</v>
      </c>
      <c r="Q80" s="81">
        <f>Headcount!Q16</f>
        <v>16.750000000000007</v>
      </c>
      <c r="R80" s="81">
        <f>Headcount!R16</f>
        <v>17.000000000000007</v>
      </c>
      <c r="S80" s="81">
        <f>Headcount!S16</f>
        <v>17.250000000000007</v>
      </c>
      <c r="T80" s="81">
        <f>Headcount!T16</f>
        <v>17.500000000000007</v>
      </c>
      <c r="U80" s="81">
        <f>Headcount!U16</f>
        <v>17.750000000000007</v>
      </c>
      <c r="V80" s="81">
        <f>Headcount!V16</f>
        <v>18.000000000000007</v>
      </c>
      <c r="W80" s="81">
        <f>Headcount!W16</f>
        <v>18.250000000000007</v>
      </c>
      <c r="X80" s="81">
        <f>Headcount!X16</f>
        <v>18.500000000000007</v>
      </c>
      <c r="Y80" s="81">
        <f>Headcount!Y16</f>
        <v>18.750000000000007</v>
      </c>
      <c r="Z80" s="81">
        <f>Headcount!Z16</f>
        <v>19.000000000000007</v>
      </c>
      <c r="AA80" s="81">
        <f>Headcount!AA16</f>
        <v>19.250000000000007</v>
      </c>
      <c r="AB80" s="81">
        <f>Headcount!AB16</f>
        <v>19.500000000000007</v>
      </c>
      <c r="AC80" s="81">
        <f>Headcount!AC16</f>
        <v>19.750000000000007</v>
      </c>
      <c r="AD80" s="81">
        <f>Headcount!AD16</f>
        <v>20.000000000000007</v>
      </c>
      <c r="AE80" s="81">
        <f>Headcount!AE16</f>
        <v>20.250000000000007</v>
      </c>
      <c r="AF80" s="81">
        <f>Headcount!AF16</f>
        <v>20.500000000000007</v>
      </c>
      <c r="AG80" s="81">
        <f>Headcount!AG16</f>
        <v>20.750000000000007</v>
      </c>
      <c r="AH80" s="81">
        <f>Headcount!AH16</f>
        <v>21.000000000000007</v>
      </c>
      <c r="AI80" s="81">
        <f>Headcount!AI16</f>
        <v>21.250000000000007</v>
      </c>
      <c r="AJ80" s="81">
        <f>Headcount!AJ16</f>
        <v>21.500000000000007</v>
      </c>
      <c r="AK80" s="81">
        <f>Headcount!AK16</f>
        <v>21.750000000000007</v>
      </c>
      <c r="AL80" s="81">
        <f>Headcount!AL16</f>
        <v>22.000000000000007</v>
      </c>
    </row>
    <row r="81" spans="1:38" x14ac:dyDescent="0.35">
      <c r="A81" s="63" t="s">
        <v>154</v>
      </c>
      <c r="B81" s="34" t="s">
        <v>101</v>
      </c>
      <c r="C81" s="81">
        <f>Headcount!C17</f>
        <v>4.083333333333333</v>
      </c>
      <c r="D81" s="81">
        <f>Headcount!D17</f>
        <v>4.1666666666666661</v>
      </c>
      <c r="E81" s="81">
        <f>Headcount!E17</f>
        <v>4.2499999999999991</v>
      </c>
      <c r="F81" s="81">
        <f>Headcount!F17</f>
        <v>4.3333333333333321</v>
      </c>
      <c r="G81" s="81">
        <f>Headcount!G17</f>
        <v>4.4166666666666652</v>
      </c>
      <c r="H81" s="81">
        <f>Headcount!H17</f>
        <v>4.4999999999999982</v>
      </c>
      <c r="I81" s="81">
        <f>Headcount!I17</f>
        <v>4.5833333333333313</v>
      </c>
      <c r="J81" s="81">
        <f>Headcount!J17</f>
        <v>4.6666666666666643</v>
      </c>
      <c r="K81" s="81">
        <f>Headcount!K17</f>
        <v>4.7499999999999973</v>
      </c>
      <c r="L81" s="81">
        <f>Headcount!L17</f>
        <v>4.8333333333333304</v>
      </c>
      <c r="M81" s="81">
        <f>Headcount!M17</f>
        <v>4.9166666666666634</v>
      </c>
      <c r="N81" s="81">
        <f>Headcount!N17</f>
        <v>4.9999999999999964</v>
      </c>
      <c r="O81" s="81">
        <f>Headcount!O17</f>
        <v>5.0833333333333295</v>
      </c>
      <c r="P81" s="81">
        <f>Headcount!P17</f>
        <v>5.1666666666666625</v>
      </c>
      <c r="Q81" s="81">
        <f>Headcount!Q17</f>
        <v>5.2499999999999956</v>
      </c>
      <c r="R81" s="81">
        <f>Headcount!R17</f>
        <v>5.3333333333333286</v>
      </c>
      <c r="S81" s="81">
        <f>Headcount!S17</f>
        <v>5.4166666666666616</v>
      </c>
      <c r="T81" s="81">
        <f>Headcount!T17</f>
        <v>5.4999999999999947</v>
      </c>
      <c r="U81" s="81">
        <f>Headcount!U17</f>
        <v>5.5833333333333277</v>
      </c>
      <c r="V81" s="81">
        <f>Headcount!V17</f>
        <v>5.6666666666666607</v>
      </c>
      <c r="W81" s="81">
        <f>Headcount!W17</f>
        <v>5.7499999999999938</v>
      </c>
      <c r="X81" s="81">
        <f>Headcount!X17</f>
        <v>5.8333333333333268</v>
      </c>
      <c r="Y81" s="81">
        <f>Headcount!Y17</f>
        <v>5.9166666666666599</v>
      </c>
      <c r="Z81" s="81">
        <f>Headcount!Z17</f>
        <v>5.9999999999999929</v>
      </c>
      <c r="AA81" s="81">
        <f>Headcount!AA17</f>
        <v>6.0833333333333259</v>
      </c>
      <c r="AB81" s="81">
        <f>Headcount!AB17</f>
        <v>6.166666666666659</v>
      </c>
      <c r="AC81" s="81">
        <f>Headcount!AC17</f>
        <v>6.249999999999992</v>
      </c>
      <c r="AD81" s="81">
        <f>Headcount!AD17</f>
        <v>6.333333333333325</v>
      </c>
      <c r="AE81" s="81">
        <f>Headcount!AE17</f>
        <v>6.4166666666666581</v>
      </c>
      <c r="AF81" s="81">
        <f>Headcount!AF17</f>
        <v>6.4999999999999911</v>
      </c>
      <c r="AG81" s="81">
        <f>Headcount!AG17</f>
        <v>6.5833333333333242</v>
      </c>
      <c r="AH81" s="81">
        <f>Headcount!AH17</f>
        <v>6.6666666666666572</v>
      </c>
      <c r="AI81" s="81">
        <f>Headcount!AI17</f>
        <v>6.7499999999999902</v>
      </c>
      <c r="AJ81" s="81">
        <f>Headcount!AJ17</f>
        <v>6.8333333333333233</v>
      </c>
      <c r="AK81" s="81">
        <f>Headcount!AK17</f>
        <v>6.9166666666666563</v>
      </c>
      <c r="AL81" s="81">
        <f>Headcount!AL17</f>
        <v>6.9999999999999893</v>
      </c>
    </row>
    <row r="82" spans="1:38" x14ac:dyDescent="0.35">
      <c r="A82" s="63" t="s">
        <v>155</v>
      </c>
      <c r="B82" s="34" t="s">
        <v>101</v>
      </c>
      <c r="C82" s="81">
        <f>Headcount!C18</f>
        <v>8.25</v>
      </c>
      <c r="D82" s="81">
        <f>Headcount!D18</f>
        <v>8.5</v>
      </c>
      <c r="E82" s="81">
        <f>Headcount!E18</f>
        <v>8.75</v>
      </c>
      <c r="F82" s="81">
        <f>Headcount!F18</f>
        <v>9</v>
      </c>
      <c r="G82" s="81">
        <f>Headcount!G18</f>
        <v>9.25</v>
      </c>
      <c r="H82" s="81">
        <f>Headcount!H18</f>
        <v>9.5</v>
      </c>
      <c r="I82" s="81">
        <f>Headcount!I18</f>
        <v>9.75</v>
      </c>
      <c r="J82" s="81">
        <f>Headcount!J18</f>
        <v>10</v>
      </c>
      <c r="K82" s="81">
        <f>Headcount!K18</f>
        <v>10.25</v>
      </c>
      <c r="L82" s="81">
        <f>Headcount!L18</f>
        <v>10.5</v>
      </c>
      <c r="M82" s="81">
        <f>Headcount!M18</f>
        <v>10.75</v>
      </c>
      <c r="N82" s="81">
        <f>Headcount!N18</f>
        <v>11</v>
      </c>
      <c r="O82" s="81">
        <f>Headcount!O18</f>
        <v>11.25</v>
      </c>
      <c r="P82" s="81">
        <f>Headcount!P18</f>
        <v>11.5</v>
      </c>
      <c r="Q82" s="81">
        <f>Headcount!Q18</f>
        <v>11.75</v>
      </c>
      <c r="R82" s="81">
        <f>Headcount!R18</f>
        <v>12</v>
      </c>
      <c r="S82" s="81">
        <f>Headcount!S18</f>
        <v>12.25</v>
      </c>
      <c r="T82" s="81">
        <f>Headcount!T18</f>
        <v>12.5</v>
      </c>
      <c r="U82" s="81">
        <f>Headcount!U18</f>
        <v>12.75</v>
      </c>
      <c r="V82" s="81">
        <f>Headcount!V18</f>
        <v>13</v>
      </c>
      <c r="W82" s="81">
        <f>Headcount!W18</f>
        <v>13.25</v>
      </c>
      <c r="X82" s="81">
        <f>Headcount!X18</f>
        <v>13.5</v>
      </c>
      <c r="Y82" s="81">
        <f>Headcount!Y18</f>
        <v>13.75</v>
      </c>
      <c r="Z82" s="81">
        <f>Headcount!Z18</f>
        <v>14</v>
      </c>
      <c r="AA82" s="81">
        <f>Headcount!AA18</f>
        <v>14.25</v>
      </c>
      <c r="AB82" s="81">
        <f>Headcount!AB18</f>
        <v>14.5</v>
      </c>
      <c r="AC82" s="81">
        <f>Headcount!AC18</f>
        <v>14.75</v>
      </c>
      <c r="AD82" s="81">
        <f>Headcount!AD18</f>
        <v>15</v>
      </c>
      <c r="AE82" s="81">
        <f>Headcount!AE18</f>
        <v>15.25</v>
      </c>
      <c r="AF82" s="81">
        <f>Headcount!AF18</f>
        <v>15.5</v>
      </c>
      <c r="AG82" s="81">
        <f>Headcount!AG18</f>
        <v>15.75</v>
      </c>
      <c r="AH82" s="81">
        <f>Headcount!AH18</f>
        <v>16</v>
      </c>
      <c r="AI82" s="81">
        <f>Headcount!AI18</f>
        <v>16.25</v>
      </c>
      <c r="AJ82" s="81">
        <f>Headcount!AJ18</f>
        <v>16.5</v>
      </c>
      <c r="AK82" s="81">
        <f>Headcount!AK18</f>
        <v>16.75</v>
      </c>
      <c r="AL82" s="81">
        <f>Headcount!AL18</f>
        <v>17</v>
      </c>
    </row>
    <row r="83" spans="1:38" x14ac:dyDescent="0.35">
      <c r="A83" s="63" t="s">
        <v>156</v>
      </c>
      <c r="B83" s="34" t="s">
        <v>101</v>
      </c>
      <c r="C83" s="81">
        <f>Headcount!C19</f>
        <v>4.083333333333333</v>
      </c>
      <c r="D83" s="81">
        <f>Headcount!D19</f>
        <v>4.1666666666666661</v>
      </c>
      <c r="E83" s="81">
        <f>Headcount!E19</f>
        <v>4.2499999999999991</v>
      </c>
      <c r="F83" s="81">
        <f>Headcount!F19</f>
        <v>4.3333333333333321</v>
      </c>
      <c r="G83" s="81">
        <f>Headcount!G19</f>
        <v>4.4166666666666652</v>
      </c>
      <c r="H83" s="81">
        <f>Headcount!H19</f>
        <v>4.4999999999999982</v>
      </c>
      <c r="I83" s="81">
        <f>Headcount!I19</f>
        <v>4.5833333333333313</v>
      </c>
      <c r="J83" s="81">
        <f>Headcount!J19</f>
        <v>4.6666666666666643</v>
      </c>
      <c r="K83" s="81">
        <f>Headcount!K19</f>
        <v>4.7499999999999973</v>
      </c>
      <c r="L83" s="81">
        <f>Headcount!L19</f>
        <v>4.8333333333333304</v>
      </c>
      <c r="M83" s="81">
        <f>Headcount!M19</f>
        <v>4.9166666666666634</v>
      </c>
      <c r="N83" s="81">
        <f>Headcount!N19</f>
        <v>4.9999999999999964</v>
      </c>
      <c r="O83" s="81">
        <f>Headcount!O19</f>
        <v>5.0833333333333295</v>
      </c>
      <c r="P83" s="81">
        <f>Headcount!P19</f>
        <v>5.1666666666666625</v>
      </c>
      <c r="Q83" s="81">
        <f>Headcount!Q19</f>
        <v>5.2499999999999956</v>
      </c>
      <c r="R83" s="81">
        <f>Headcount!R19</f>
        <v>5.3333333333333286</v>
      </c>
      <c r="S83" s="81">
        <f>Headcount!S19</f>
        <v>5.4166666666666616</v>
      </c>
      <c r="T83" s="81">
        <f>Headcount!T19</f>
        <v>5.4999999999999947</v>
      </c>
      <c r="U83" s="81">
        <f>Headcount!U19</f>
        <v>5.5833333333333277</v>
      </c>
      <c r="V83" s="81">
        <f>Headcount!V19</f>
        <v>5.6666666666666607</v>
      </c>
      <c r="W83" s="81">
        <f>Headcount!W19</f>
        <v>5.7499999999999938</v>
      </c>
      <c r="X83" s="81">
        <f>Headcount!X19</f>
        <v>5.8333333333333268</v>
      </c>
      <c r="Y83" s="81">
        <f>Headcount!Y19</f>
        <v>5.9166666666666599</v>
      </c>
      <c r="Z83" s="81">
        <f>Headcount!Z19</f>
        <v>5.9999999999999929</v>
      </c>
      <c r="AA83" s="81">
        <f>Headcount!AA19</f>
        <v>6.0833333333333259</v>
      </c>
      <c r="AB83" s="81">
        <f>Headcount!AB19</f>
        <v>6.166666666666659</v>
      </c>
      <c r="AC83" s="81">
        <f>Headcount!AC19</f>
        <v>6.249999999999992</v>
      </c>
      <c r="AD83" s="81">
        <f>Headcount!AD19</f>
        <v>6.333333333333325</v>
      </c>
      <c r="AE83" s="81">
        <f>Headcount!AE19</f>
        <v>6.4166666666666581</v>
      </c>
      <c r="AF83" s="81">
        <f>Headcount!AF19</f>
        <v>6.4999999999999911</v>
      </c>
      <c r="AG83" s="81">
        <f>Headcount!AG19</f>
        <v>6.5833333333333242</v>
      </c>
      <c r="AH83" s="81">
        <f>Headcount!AH19</f>
        <v>6.6666666666666572</v>
      </c>
      <c r="AI83" s="81">
        <f>Headcount!AI19</f>
        <v>6.7499999999999902</v>
      </c>
      <c r="AJ83" s="81">
        <f>Headcount!AJ19</f>
        <v>6.8333333333333233</v>
      </c>
      <c r="AK83" s="81">
        <f>Headcount!AK19</f>
        <v>6.9166666666666563</v>
      </c>
      <c r="AL83" s="81">
        <f>Headcount!AL19</f>
        <v>6.9999999999999893</v>
      </c>
    </row>
    <row r="84" spans="1:38" x14ac:dyDescent="0.35">
      <c r="A84" s="63" t="s">
        <v>157</v>
      </c>
      <c r="B84" s="34" t="s">
        <v>101</v>
      </c>
      <c r="C84" s="81">
        <f>Headcount!C20</f>
        <v>7.166666666666667</v>
      </c>
      <c r="D84" s="81">
        <f>Headcount!D20</f>
        <v>7.3333333333333339</v>
      </c>
      <c r="E84" s="81">
        <f>Headcount!E20</f>
        <v>7.5000000000000009</v>
      </c>
      <c r="F84" s="81">
        <f>Headcount!F20</f>
        <v>7.6666666666666679</v>
      </c>
      <c r="G84" s="81">
        <f>Headcount!G20</f>
        <v>7.8333333333333348</v>
      </c>
      <c r="H84" s="81">
        <f>Headcount!H20</f>
        <v>8.0000000000000018</v>
      </c>
      <c r="I84" s="81">
        <f>Headcount!I20</f>
        <v>8.1666666666666679</v>
      </c>
      <c r="J84" s="81">
        <f>Headcount!J20</f>
        <v>8.3333333333333339</v>
      </c>
      <c r="K84" s="81">
        <f>Headcount!K20</f>
        <v>8.5</v>
      </c>
      <c r="L84" s="81">
        <f>Headcount!L20</f>
        <v>8.6666666666666661</v>
      </c>
      <c r="M84" s="81">
        <f>Headcount!M20</f>
        <v>8.8333333333333321</v>
      </c>
      <c r="N84" s="81">
        <f>Headcount!N20</f>
        <v>8.9999999999999982</v>
      </c>
      <c r="O84" s="81">
        <f>Headcount!O20</f>
        <v>9.2499999999999982</v>
      </c>
      <c r="P84" s="81">
        <f>Headcount!P20</f>
        <v>9.4999999999999982</v>
      </c>
      <c r="Q84" s="81">
        <f>Headcount!Q20</f>
        <v>9.7499999999999982</v>
      </c>
      <c r="R84" s="81">
        <f>Headcount!R20</f>
        <v>9.9999999999999982</v>
      </c>
      <c r="S84" s="81">
        <f>Headcount!S20</f>
        <v>10.249999999999998</v>
      </c>
      <c r="T84" s="81">
        <f>Headcount!T20</f>
        <v>10.499999999999998</v>
      </c>
      <c r="U84" s="81">
        <f>Headcount!U20</f>
        <v>10.749999999999998</v>
      </c>
      <c r="V84" s="81">
        <f>Headcount!V20</f>
        <v>10.999999999999998</v>
      </c>
      <c r="W84" s="81">
        <f>Headcount!W20</f>
        <v>11.249999999999998</v>
      </c>
      <c r="X84" s="81">
        <f>Headcount!X20</f>
        <v>11.499999999999998</v>
      </c>
      <c r="Y84" s="81">
        <f>Headcount!Y20</f>
        <v>11.749999999999998</v>
      </c>
      <c r="Z84" s="81">
        <f>Headcount!Z20</f>
        <v>11.999999999999998</v>
      </c>
      <c r="AA84" s="81">
        <f>Headcount!AA20</f>
        <v>12.249999999999998</v>
      </c>
      <c r="AB84" s="81">
        <f>Headcount!AB20</f>
        <v>12.499999999999998</v>
      </c>
      <c r="AC84" s="81">
        <f>Headcount!AC20</f>
        <v>12.749999999999998</v>
      </c>
      <c r="AD84" s="81">
        <f>Headcount!AD20</f>
        <v>12.999999999999998</v>
      </c>
      <c r="AE84" s="81">
        <f>Headcount!AE20</f>
        <v>13.249999999999998</v>
      </c>
      <c r="AF84" s="81">
        <f>Headcount!AF20</f>
        <v>13.499999999999998</v>
      </c>
      <c r="AG84" s="81">
        <f>Headcount!AG20</f>
        <v>13.749999999999998</v>
      </c>
      <c r="AH84" s="81">
        <f>Headcount!AH20</f>
        <v>13.999999999999998</v>
      </c>
      <c r="AI84" s="81">
        <f>Headcount!AI20</f>
        <v>14.249999999999998</v>
      </c>
      <c r="AJ84" s="81">
        <f>Headcount!AJ20</f>
        <v>14.499999999999998</v>
      </c>
      <c r="AK84" s="81">
        <f>Headcount!AK20</f>
        <v>14.749999999999998</v>
      </c>
      <c r="AL84" s="81">
        <f>Headcount!AL20</f>
        <v>14.999999999999998</v>
      </c>
    </row>
    <row r="85" spans="1:38" x14ac:dyDescent="0.35">
      <c r="A85" s="63" t="s">
        <v>158</v>
      </c>
      <c r="B85" s="34" t="s">
        <v>101</v>
      </c>
      <c r="C85" s="81">
        <f>Headcount!C21</f>
        <v>5.083333333333333</v>
      </c>
      <c r="D85" s="81">
        <f>Headcount!D21</f>
        <v>5.1666666666666661</v>
      </c>
      <c r="E85" s="81">
        <f>Headcount!E21</f>
        <v>5.2499999999999991</v>
      </c>
      <c r="F85" s="81">
        <f>Headcount!F21</f>
        <v>5.3333333333333321</v>
      </c>
      <c r="G85" s="81">
        <f>Headcount!G21</f>
        <v>5.4166666666666652</v>
      </c>
      <c r="H85" s="81">
        <f>Headcount!H21</f>
        <v>5.4999999999999982</v>
      </c>
      <c r="I85" s="81">
        <f>Headcount!I21</f>
        <v>5.5833333333333313</v>
      </c>
      <c r="J85" s="81">
        <f>Headcount!J21</f>
        <v>5.6666666666666643</v>
      </c>
      <c r="K85" s="81">
        <f>Headcount!K21</f>
        <v>5.7499999999999973</v>
      </c>
      <c r="L85" s="81">
        <f>Headcount!L21</f>
        <v>5.8333333333333304</v>
      </c>
      <c r="M85" s="81">
        <f>Headcount!M21</f>
        <v>5.9166666666666634</v>
      </c>
      <c r="N85" s="81">
        <f>Headcount!N21</f>
        <v>5.9999999999999964</v>
      </c>
      <c r="O85" s="81">
        <f>Headcount!O21</f>
        <v>6.0833333333333295</v>
      </c>
      <c r="P85" s="81">
        <f>Headcount!P21</f>
        <v>6.1666666666666625</v>
      </c>
      <c r="Q85" s="81">
        <f>Headcount!Q21</f>
        <v>6.2499999999999956</v>
      </c>
      <c r="R85" s="81">
        <f>Headcount!R21</f>
        <v>6.3333333333333286</v>
      </c>
      <c r="S85" s="81">
        <f>Headcount!S21</f>
        <v>6.4166666666666616</v>
      </c>
      <c r="T85" s="81">
        <f>Headcount!T21</f>
        <v>6.4999999999999947</v>
      </c>
      <c r="U85" s="81">
        <f>Headcount!U21</f>
        <v>6.5833333333333277</v>
      </c>
      <c r="V85" s="81">
        <f>Headcount!V21</f>
        <v>6.6666666666666607</v>
      </c>
      <c r="W85" s="81">
        <f>Headcount!W21</f>
        <v>6.7499999999999938</v>
      </c>
      <c r="X85" s="81">
        <f>Headcount!X21</f>
        <v>6.8333333333333268</v>
      </c>
      <c r="Y85" s="81">
        <f>Headcount!Y21</f>
        <v>6.9166666666666599</v>
      </c>
      <c r="Z85" s="81">
        <f>Headcount!Z21</f>
        <v>6.9999999999999929</v>
      </c>
      <c r="AA85" s="81">
        <f>Headcount!AA21</f>
        <v>7.0833333333333259</v>
      </c>
      <c r="AB85" s="81">
        <f>Headcount!AB21</f>
        <v>7.166666666666659</v>
      </c>
      <c r="AC85" s="81">
        <f>Headcount!AC21</f>
        <v>7.249999999999992</v>
      </c>
      <c r="AD85" s="81">
        <f>Headcount!AD21</f>
        <v>7.333333333333325</v>
      </c>
      <c r="AE85" s="81">
        <f>Headcount!AE21</f>
        <v>7.4166666666666581</v>
      </c>
      <c r="AF85" s="81">
        <f>Headcount!AF21</f>
        <v>7.4999999999999911</v>
      </c>
      <c r="AG85" s="81">
        <f>Headcount!AG21</f>
        <v>7.5833333333333242</v>
      </c>
      <c r="AH85" s="81">
        <f>Headcount!AH21</f>
        <v>7.6666666666666572</v>
      </c>
      <c r="AI85" s="81">
        <f>Headcount!AI21</f>
        <v>7.7499999999999902</v>
      </c>
      <c r="AJ85" s="81">
        <f>Headcount!AJ21</f>
        <v>7.8333333333333233</v>
      </c>
      <c r="AK85" s="81">
        <f>Headcount!AK21</f>
        <v>7.9166666666666563</v>
      </c>
      <c r="AL85" s="81">
        <f>Headcount!AL21</f>
        <v>7.9999999999999893</v>
      </c>
    </row>
    <row r="88" spans="1:38" x14ac:dyDescent="0.35">
      <c r="A88" s="24" t="s">
        <v>356</v>
      </c>
    </row>
    <row r="89" spans="1:38" x14ac:dyDescent="0.35">
      <c r="C89" s="34" t="s">
        <v>218</v>
      </c>
      <c r="D89" s="34" t="s">
        <v>357</v>
      </c>
      <c r="E89" s="34" t="s">
        <v>358</v>
      </c>
      <c r="F89" s="34" t="s">
        <v>359</v>
      </c>
      <c r="G89" s="34" t="s">
        <v>222</v>
      </c>
    </row>
    <row r="90" spans="1:38" x14ac:dyDescent="0.35">
      <c r="A90" s="82" t="s">
        <v>360</v>
      </c>
      <c r="C90" s="83">
        <f>0</f>
        <v>0</v>
      </c>
      <c r="D90" s="83">
        <f>'Revenue Model'!C41</f>
        <v>3996000</v>
      </c>
      <c r="E90" s="83">
        <f>'Revenue Model'!C41+SUM('Revenue Model'!C42:AL42)</f>
        <v>15621403.890359709</v>
      </c>
      <c r="F90" s="83">
        <f>'Revenue Model'!AL45</f>
        <v>15461650.117644239</v>
      </c>
      <c r="G90" s="83">
        <f>0</f>
        <v>0</v>
      </c>
    </row>
    <row r="91" spans="1:38" x14ac:dyDescent="0.35">
      <c r="A91" s="82" t="s">
        <v>361</v>
      </c>
      <c r="C91" s="83">
        <f>'Revenue Model'!C41</f>
        <v>3996000</v>
      </c>
      <c r="D91" s="83">
        <f>0</f>
        <v>0</v>
      </c>
      <c r="E91" s="83">
        <f>0</f>
        <v>0</v>
      </c>
      <c r="F91" s="83">
        <f>0</f>
        <v>0</v>
      </c>
      <c r="G91" s="83">
        <f>'Revenue Model'!AL45</f>
        <v>15461650.117644239</v>
      </c>
    </row>
    <row r="92" spans="1:38" x14ac:dyDescent="0.35">
      <c r="A92" s="82" t="s">
        <v>362</v>
      </c>
      <c r="C92" s="83">
        <f>0</f>
        <v>0</v>
      </c>
      <c r="D92" s="83">
        <f>SUM('Revenue Model'!C42:AL42)</f>
        <v>11625403.890359709</v>
      </c>
      <c r="E92" s="83">
        <f>SUM('Revenue Model'!C43:AL43)</f>
        <v>3224323.8968375623</v>
      </c>
      <c r="F92" s="83">
        <f>0</f>
        <v>0</v>
      </c>
      <c r="G92" s="83">
        <f>0</f>
        <v>0</v>
      </c>
    </row>
    <row r="93" spans="1:38" x14ac:dyDescent="0.35">
      <c r="A93" s="82" t="s">
        <v>363</v>
      </c>
      <c r="C93" s="83">
        <f>0</f>
        <v>0</v>
      </c>
      <c r="D93" s="83">
        <f>0</f>
        <v>0</v>
      </c>
      <c r="E93" s="83">
        <f>0</f>
        <v>0</v>
      </c>
      <c r="F93" s="83">
        <f>-SUM('Revenue Model'!C44:AL44)</f>
        <v>3384077.6695530345</v>
      </c>
      <c r="G93" s="83">
        <f>0</f>
        <v>0</v>
      </c>
    </row>
    <row r="95" spans="1:38" x14ac:dyDescent="0.35">
      <c r="A95" s="82" t="s">
        <v>364</v>
      </c>
      <c r="C95" s="84">
        <f>0</f>
        <v>0</v>
      </c>
      <c r="D95" s="84">
        <f>0</f>
        <v>0</v>
      </c>
      <c r="E95" s="84">
        <f>0</f>
        <v>0</v>
      </c>
      <c r="F95" s="84">
        <f>0</f>
        <v>0</v>
      </c>
      <c r="G95" s="84">
        <f>0</f>
        <v>0</v>
      </c>
      <c r="H95" s="84">
        <f>0</f>
        <v>0</v>
      </c>
      <c r="I95" s="84">
        <f>0</f>
        <v>0</v>
      </c>
      <c r="J95" s="84">
        <f>0</f>
        <v>0</v>
      </c>
      <c r="K95" s="84">
        <f>0</f>
        <v>0</v>
      </c>
      <c r="L95" s="84">
        <f>0</f>
        <v>0</v>
      </c>
      <c r="M95" s="84">
        <f>0</f>
        <v>0</v>
      </c>
      <c r="N95" s="84">
        <f>0</f>
        <v>0</v>
      </c>
      <c r="O95" s="84">
        <f>0</f>
        <v>0</v>
      </c>
      <c r="P95" s="84">
        <f>0</f>
        <v>0</v>
      </c>
      <c r="Q95" s="84">
        <f>0</f>
        <v>0</v>
      </c>
      <c r="R95" s="84">
        <f>0</f>
        <v>0</v>
      </c>
      <c r="S95" s="84">
        <f>0</f>
        <v>0</v>
      </c>
      <c r="T95" s="84">
        <f>0</f>
        <v>0</v>
      </c>
      <c r="U95" s="84">
        <f>0</f>
        <v>0</v>
      </c>
      <c r="V95" s="84">
        <f>0</f>
        <v>0</v>
      </c>
      <c r="W95" s="84">
        <f>0</f>
        <v>0</v>
      </c>
      <c r="X95" s="84">
        <f>0</f>
        <v>0</v>
      </c>
      <c r="Y95" s="84">
        <f>0</f>
        <v>0</v>
      </c>
      <c r="Z95" s="84">
        <f>0</f>
        <v>0</v>
      </c>
      <c r="AA95" s="84">
        <f>0</f>
        <v>0</v>
      </c>
      <c r="AB95" s="84">
        <f>0</f>
        <v>0</v>
      </c>
      <c r="AC95" s="84">
        <f>0</f>
        <v>0</v>
      </c>
      <c r="AD95" s="84">
        <f>0</f>
        <v>0</v>
      </c>
      <c r="AE95" s="84">
        <f>0</f>
        <v>0</v>
      </c>
      <c r="AF95" s="84">
        <f>0</f>
        <v>0</v>
      </c>
      <c r="AG95" s="84">
        <f>0</f>
        <v>0</v>
      </c>
      <c r="AH95" s="84">
        <f>0</f>
        <v>0</v>
      </c>
      <c r="AI95" s="84">
        <f>0</f>
        <v>0</v>
      </c>
      <c r="AJ95" s="84">
        <f>0</f>
        <v>0</v>
      </c>
      <c r="AK95" s="84">
        <f>0</f>
        <v>0</v>
      </c>
      <c r="AL95" s="84">
        <f>0</f>
        <v>0</v>
      </c>
    </row>
  </sheetData>
  <mergeCells count="58">
    <mergeCell ref="E4:F4"/>
    <mergeCell ref="C6:E6"/>
    <mergeCell ref="G6:I6"/>
    <mergeCell ref="K6:M6"/>
    <mergeCell ref="O6:Q6"/>
    <mergeCell ref="S6:U6"/>
    <mergeCell ref="W6:Y6"/>
    <mergeCell ref="C7:E7"/>
    <mergeCell ref="G7:I7"/>
    <mergeCell ref="K7:M7"/>
    <mergeCell ref="O7:Q7"/>
    <mergeCell ref="S7:U7"/>
    <mergeCell ref="W7:Y7"/>
    <mergeCell ref="W8:Y8"/>
    <mergeCell ref="C10:E10"/>
    <mergeCell ref="G10:I10"/>
    <mergeCell ref="K10:M10"/>
    <mergeCell ref="O10:Q10"/>
    <mergeCell ref="S10:U10"/>
    <mergeCell ref="W10:Y10"/>
    <mergeCell ref="C8:E8"/>
    <mergeCell ref="G8:I8"/>
    <mergeCell ref="K8:M8"/>
    <mergeCell ref="O8:Q8"/>
    <mergeCell ref="S8:U8"/>
    <mergeCell ref="W11:Y11"/>
    <mergeCell ref="C12:E12"/>
    <mergeCell ref="G12:I12"/>
    <mergeCell ref="K12:M12"/>
    <mergeCell ref="O12:Q12"/>
    <mergeCell ref="S12:U12"/>
    <mergeCell ref="W12:Y12"/>
    <mergeCell ref="C11:E11"/>
    <mergeCell ref="G11:I11"/>
    <mergeCell ref="K11:M11"/>
    <mergeCell ref="O11:Q11"/>
    <mergeCell ref="S11:U11"/>
    <mergeCell ref="W15:Y15"/>
    <mergeCell ref="AA15:AC15"/>
    <mergeCell ref="C16:E16"/>
    <mergeCell ref="G16:I16"/>
    <mergeCell ref="K16:M16"/>
    <mergeCell ref="O16:Q16"/>
    <mergeCell ref="S16:U16"/>
    <mergeCell ref="W16:Y16"/>
    <mergeCell ref="AA16:AC16"/>
    <mergeCell ref="C15:E15"/>
    <mergeCell ref="G15:I15"/>
    <mergeCell ref="K15:M15"/>
    <mergeCell ref="O15:Q15"/>
    <mergeCell ref="S15:U15"/>
    <mergeCell ref="W17:Y17"/>
    <mergeCell ref="AA17:AC17"/>
    <mergeCell ref="C17:E17"/>
    <mergeCell ref="G17:I17"/>
    <mergeCell ref="K17:M17"/>
    <mergeCell ref="O17:Q17"/>
    <mergeCell ref="S17:U17"/>
  </mergeCells>
  <conditionalFormatting sqref="C16">
    <cfRule type="cellIs" dxfId="14" priority="8" operator="greaterThanOrEqual">
      <formula>1</formula>
    </cfRule>
    <cfRule type="cellIs" dxfId="13" priority="9" operator="between">
      <formula>0.95</formula>
      <formula>1</formula>
    </cfRule>
    <cfRule type="cellIs" dxfId="12" priority="10" operator="lessThan">
      <formula>0.95</formula>
    </cfRule>
  </conditionalFormatting>
  <conditionalFormatting sqref="O11">
    <cfRule type="cellIs" dxfId="11" priority="2" operator="lessThan">
      <formula>12</formula>
    </cfRule>
    <cfRule type="cellIs" dxfId="10" priority="3" operator="between">
      <formula>12</formula>
      <formula>18</formula>
    </cfRule>
    <cfRule type="cellIs" dxfId="9" priority="4" operator="greaterThanOrEqual">
      <formula>18</formula>
    </cfRule>
  </conditionalFormatting>
  <conditionalFormatting sqref="S7">
    <cfRule type="cellIs" dxfId="8" priority="14" operator="greaterThanOrEqual">
      <formula>0</formula>
    </cfRule>
    <cfRule type="cellIs" dxfId="7" priority="15" operator="between">
      <formula>-0.3</formula>
      <formula>0</formula>
    </cfRule>
    <cfRule type="cellIs" dxfId="6" priority="16" operator="lessThan">
      <formula>-0.3</formula>
    </cfRule>
  </conditionalFormatting>
  <conditionalFormatting sqref="S16">
    <cfRule type="cellIs" dxfId="5" priority="11" operator="greaterThanOrEqual">
      <formula>3</formula>
    </cfRule>
    <cfRule type="cellIs" dxfId="4" priority="12" operator="between">
      <formula>2</formula>
      <formula>3</formula>
    </cfRule>
    <cfRule type="cellIs" dxfId="3" priority="13" operator="lessThan">
      <formula>2</formula>
    </cfRule>
  </conditionalFormatting>
  <conditionalFormatting sqref="W11">
    <cfRule type="cellIs" dxfId="2" priority="5" operator="greaterThanOrEqual">
      <formula>0.4</formula>
    </cfRule>
    <cfRule type="cellIs" dxfId="1" priority="6" operator="between">
      <formula>0.2</formula>
      <formula>0.4</formula>
    </cfRule>
    <cfRule type="cellIs" dxfId="0" priority="7" operator="lessThan">
      <formula>0.2</formula>
    </cfRule>
  </conditionalFormatting>
  <hyperlinks>
    <hyperlink ref="E1" r:id="rId1" location="Cover!A1" xr:uid="{00000000-0004-0000-0900-000000000000}"/>
    <hyperlink ref="H4" r:id="rId2" location="'Scenario%20Manager'!C6" xr:uid="{00000000-0004-0000-0900-000001000000}"/>
  </hyperlinks>
  <pageMargins left="0.75" right="0.75" top="1" bottom="1" header="0.5" footer="0.5"/>
  <pageSetup fitToHeight="0" orientation="landscape" horizontalDpi="300" verticalDpi="300"/>
  <headerFooter>
    <oddHeader>&amp;LNovaFlow Analytics&amp;RKPI Dashboard</oddHeader>
    <oddFooter>&amp;LFP&amp;&amp;A Planning Model v1.0&amp;CConfidential&amp;RPage &amp;P of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39</vt:i4>
      </vt:variant>
    </vt:vector>
  </HeadingPairs>
  <TitlesOfParts>
    <vt:vector size="49" baseType="lpstr">
      <vt:lpstr>Cover</vt:lpstr>
      <vt:lpstr>Instructions</vt:lpstr>
      <vt:lpstr>Assumptions</vt:lpstr>
      <vt:lpstr>Scenario Manager</vt:lpstr>
      <vt:lpstr>Revenue Model</vt:lpstr>
      <vt:lpstr>Headcount</vt:lpstr>
      <vt:lpstr>Operating Expenses</vt:lpstr>
      <vt:lpstr>Income Statement</vt:lpstr>
      <vt:lpstr>Cash Flow</vt:lpstr>
      <vt:lpstr>KPI Dashboard</vt:lpstr>
      <vt:lpstr>A_Benefits</vt:lpstr>
      <vt:lpstr>A_Bonus</vt:lpstr>
      <vt:lpstr>A_Capex</vt:lpstr>
      <vt:lpstr>A_Cash0</vt:lpstr>
      <vt:lpstr>A_CSCogs</vt:lpstr>
      <vt:lpstr>A_DeptHires</vt:lpstr>
      <vt:lpstr>A_DeptNames</vt:lpstr>
      <vt:lpstr>A_DeptSal</vt:lpstr>
      <vt:lpstr>A_DeptStart</vt:lpstr>
      <vt:lpstr>A_DR0</vt:lpstr>
      <vt:lpstr>A_EntARPU0</vt:lpstr>
      <vt:lpstr>A_EntCust0</vt:lpstr>
      <vt:lpstr>A_HireYears</vt:lpstr>
      <vt:lpstr>A_HostPct</vt:lpstr>
      <vt:lpstr>A_Life</vt:lpstr>
      <vt:lpstr>A_Load</vt:lpstr>
      <vt:lpstr>A_MktgG</vt:lpstr>
      <vt:lpstr>A_MMARPU0</vt:lpstr>
      <vt:lpstr>A_MMCust0</vt:lpstr>
      <vt:lpstr>A_ProfFees</vt:lpstr>
      <vt:lpstr>A_ProfG</vt:lpstr>
      <vt:lpstr>A_PTax</vt:lpstr>
      <vt:lpstr>A_RentHead</vt:lpstr>
      <vt:lpstr>A_SoftHead</vt:lpstr>
      <vt:lpstr>A_TaxRate</vt:lpstr>
      <vt:lpstr>A_TravelPct</vt:lpstr>
      <vt:lpstr>L_ChurnEnt</vt:lpstr>
      <vt:lpstr>L_ChurnMM</vt:lpstr>
      <vt:lpstr>L_ExpEnt</vt:lpstr>
      <vt:lpstr>L_ExpMM</vt:lpstr>
      <vt:lpstr>L_HirePace</vt:lpstr>
      <vt:lpstr>L_Mktg</vt:lpstr>
      <vt:lpstr>L_NewEnt</vt:lpstr>
      <vt:lpstr>L_NewMM</vt:lpstr>
      <vt:lpstr>L_Price</vt:lpstr>
      <vt:lpstr>L_SalInfl</vt:lpstr>
      <vt:lpstr>ModelStart</vt:lpstr>
      <vt:lpstr>ScenarioList</vt:lpstr>
      <vt:lpstr>ScenarioSel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soban farid</cp:lastModifiedBy>
  <cp:revision>1</cp:revision>
  <dcterms:created xsi:type="dcterms:W3CDTF">2026-07-11T19:03:02Z</dcterms:created>
  <dcterms:modified xsi:type="dcterms:W3CDTF">2026-07-11T19:12:51Z</dcterms:modified>
  <dc:language>en-US</dc:language>
</cp:coreProperties>
</file>